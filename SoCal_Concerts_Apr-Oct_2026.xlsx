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 Tier — Stadium" sheetId="2" state="visible" r:id="rId4"/>
    <sheet name="A Tier — Arena" sheetId="3" state="visible" r:id="rId5"/>
    <sheet name="B Tier — Theater" sheetId="4" state="visible" r:id="rId6"/>
    <sheet name="C Tier — Club &amp; Emerg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<sst xmlns="http://schemas.openxmlformats.org/spreadsheetml/2006/main" count="948" uniqueCount="388">
  <si>
    <t xml:space="preserve">SoCal Upcoming Music Shows</t>
  </si>
  <si>
    <t xml:space="preserve">April 18, 2026 – October 18, 2026  |  LA • Orange County • San Diego</t>
  </si>
  <si>
    <t xml:space="preserve">Compiled via public listings: Ticketmaster, Live Nation, AXS, SeatGeek, venue official sites</t>
  </si>
  <si>
    <t xml:space="preserve">Tier</t>
  </si>
  <si>
    <t xml:space="preserve">Segment</t>
  </si>
  <si>
    <t xml:space="preserve">Description</t>
  </si>
  <si>
    <t xml:space="preserve">Typical Get-in</t>
  </si>
  <si>
    <t xml:space="preserve">S</t>
  </si>
  <si>
    <t xml:space="preserve">Megastar / Stadium Headliners</t>
  </si>
  <si>
    <t xml:space="preserve">Global touring acts playing stadiums (SoFi, Dodger Stadium, BMO, Snapdragon, Intuit Dome). Biggest demand, highest get-in prices.</t>
  </si>
  <si>
    <t xml:space="preserve">$80 - $250+</t>
  </si>
  <si>
    <t xml:space="preserve">A</t>
  </si>
  <si>
    <t xml:space="preserve">Arena Headliners</t>
  </si>
  <si>
    <t xml:space="preserve">Major chart-topping acts playing Kia Forum, Crypto.com Arena, Honda Center, Pechanga Arena, and large amphitheaters (North Island, Hollywood Bowl headline nights).</t>
  </si>
  <si>
    <t xml:space="preserve">$40 - $150</t>
  </si>
  <si>
    <t xml:space="preserve">B</t>
  </si>
  <si>
    <t xml:space="preserve">Theater / Mid-Size Acts</t>
  </si>
  <si>
    <t xml:space="preserve">Respected, established acts playing Greek Theatre, Hollywood Bowl series, YouTube Theater. Includes heritage artists and indie headliners.</t>
  </si>
  <si>
    <t xml:space="preserve">$30 - $90</t>
  </si>
  <si>
    <t xml:space="preserve">C</t>
  </si>
  <si>
    <t xml:space="preserve">Club, Emerging &amp; Niche</t>
  </si>
  <si>
    <t xml:space="preserve">Smaller venues like The Wiltern, Fonda Theatre, Belasco, and niche/genre acts at bigger venues with lower demand.</t>
  </si>
  <si>
    <t xml:space="preserve">$20 - $60</t>
  </si>
  <si>
    <t xml:space="preserve">Show counts</t>
  </si>
  <si>
    <t xml:space="preserve">Shows</t>
  </si>
  <si>
    <t xml:space="preserve">Avg Get-in</t>
  </si>
  <si>
    <t xml:space="preserve">TOTAL</t>
  </si>
  <si>
    <t xml:space="preserve">Notes</t>
  </si>
  <si>
    <t xml:space="preserve">• Date window: April 18, 2026 – October 18, 2026 (next 6 months from today).</t>
  </si>
  <si>
    <t xml:space="preserve">• Geography: Greater Los Angeles, Orange County, and San Diego (including Inland Empire venues hosting major tours).</t>
  </si>
  <si>
    <t xml:space="preserve">• Get-in ($) = lowest available price at time of compile (resale marketplaces when face value unavailable). Prices move daily.</t>
  </si>
  <si>
    <t xml:space="preserve">• "TBD" dates are confirmed on the schedule but with day/date not publicly released when compiled.</t>
  </si>
  <si>
    <t xml:space="preserve">• Festivals are listed per day where passes are per-day; multi-day pass prices noted in Tour/Notes column.</t>
  </si>
  <si>
    <t xml:space="preserve">• Tier placement uses venue size + artist touring prominence; a heritage artist at the Bowl may be B-tier while an emerging pop act at an arena may be A-tier.</t>
  </si>
  <si>
    <t xml:space="preserve">• Sources: Ticketmaster, Live Nation, AXS, SeatGeek, and each venue's official site.</t>
  </si>
  <si>
    <t xml:space="preserve">Tier S: Megastar / Stadium Headliners</t>
  </si>
  <si>
    <t xml:space="preserve">Global touring acts playing stadiums &amp; the largest venues. Highest demand, biggest production.</t>
  </si>
  <si>
    <t xml:space="preserve">Artist</t>
  </si>
  <si>
    <t xml:space="preserve">Tour / Notes</t>
  </si>
  <si>
    <t xml:space="preserve">Date</t>
  </si>
  <si>
    <t xml:space="preserve">Day</t>
  </si>
  <si>
    <t xml:space="preserve">Venue</t>
  </si>
  <si>
    <t xml:space="preserve">City</t>
  </si>
  <si>
    <t xml:space="preserve">Genre</t>
  </si>
  <si>
    <t xml:space="preserve">Get-in ($)</t>
  </si>
  <si>
    <t xml:space="preserve">Source</t>
  </si>
  <si>
    <t xml:space="preserve">Value</t>
  </si>
  <si>
    <t xml:space="preserve">Ed Sheeran</t>
  </si>
  <si>
    <t xml:space="preserve">LOOP Tour</t>
  </si>
  <si>
    <t xml:space="preserve">2026-08-08</t>
  </si>
  <si>
    <t xml:space="preserve">Sat</t>
  </si>
  <si>
    <t xml:space="preserve">SoFi Stadium</t>
  </si>
  <si>
    <t xml:space="preserve">Inglewood</t>
  </si>
  <si>
    <t xml:space="preserve">Pop</t>
  </si>
  <si>
    <t xml:space="preserve">Vivid Seats / Event Tickets Center</t>
  </si>
  <si>
    <t xml:space="preserve">Count</t>
  </si>
  <si>
    <t xml:space="preserve">Iron Maiden</t>
  </si>
  <si>
    <t xml:space="preserve">Run For Your Lives (w/ Megadeth, Anthrax)</t>
  </si>
  <si>
    <t xml:space="preserve">2026-09-25</t>
  </si>
  <si>
    <t xml:space="preserve">Fri</t>
  </si>
  <si>
    <t xml:space="preserve">BMO Stadium</t>
  </si>
  <si>
    <t xml:space="preserve">Los Angeles</t>
  </si>
  <si>
    <t xml:space="preserve">Rock / Metal</t>
  </si>
  <si>
    <t xml:space="preserve">Ticketmaster / BMO Stadium</t>
  </si>
  <si>
    <t xml:space="preserve">Avg get-in</t>
  </si>
  <si>
    <t xml:space="preserve">2026-09-27</t>
  </si>
  <si>
    <t xml:space="preserve">Sun</t>
  </si>
  <si>
    <t xml:space="preserve">Min get-in</t>
  </si>
  <si>
    <t xml:space="preserve">Guns N' Roses</t>
  </si>
  <si>
    <t xml:space="preserve">2026 World Tour</t>
  </si>
  <si>
    <t xml:space="preserve">2026-09-02</t>
  </si>
  <si>
    <t xml:space="preserve">Wed</t>
  </si>
  <si>
    <t xml:space="preserve">Snapdragon Stadium</t>
  </si>
  <si>
    <t xml:space="preserve">San Diego</t>
  </si>
  <si>
    <t xml:space="preserve">Rock</t>
  </si>
  <si>
    <t xml:space="preserve">Max get-in</t>
  </si>
  <si>
    <t xml:space="preserve">Foo Fighters w/ Gustavo Dudamel</t>
  </si>
  <si>
    <t xml:space="preserve">LA Phil Collaboration</t>
  </si>
  <si>
    <t xml:space="preserve">2026-08-22</t>
  </si>
  <si>
    <t xml:space="preserve">Hollywood Bowl</t>
  </si>
  <si>
    <t xml:space="preserve">Rock / Classical</t>
  </si>
  <si>
    <t xml:space="preserve">LA Phil / Hollywood Bowl</t>
  </si>
  <si>
    <t xml:space="preserve">Shakira</t>
  </si>
  <si>
    <t xml:space="preserve">Las Mujeres Ya No Lloran Tour</t>
  </si>
  <si>
    <t xml:space="preserve">2026-06-13</t>
  </si>
  <si>
    <t xml:space="preserve">Intuit Dome</t>
  </si>
  <si>
    <t xml:space="preserve">Latin Pop</t>
  </si>
  <si>
    <t xml:space="preserve">2026-06-14</t>
  </si>
  <si>
    <t xml:space="preserve">P!NK</t>
  </si>
  <si>
    <t xml:space="preserve">Summer Carnival (w/ Sheryl Crow, The Script)</t>
  </si>
  <si>
    <t xml:space="preserve">2026-TBD</t>
  </si>
  <si>
    <t xml:space="preserve">TBD</t>
  </si>
  <si>
    <t xml:space="preserve">Dodger Stadium</t>
  </si>
  <si>
    <t xml:space="preserve">Pop / Rock</t>
  </si>
  <si>
    <t xml:space="preserve">Dodger Stadium / Ticketmaster</t>
  </si>
  <si>
    <t xml:space="preserve">Tyler, The Creator</t>
  </si>
  <si>
    <t xml:space="preserve">Camp Flog Gnaw 10th Anniversary</t>
  </si>
  <si>
    <t xml:space="preserve">Hip-Hop / Festival</t>
  </si>
  <si>
    <t xml:space="preserve">Camp Flog Gnaw</t>
  </si>
  <si>
    <t xml:space="preserve">Coachella Valley Music &amp; Arts Festival</t>
  </si>
  <si>
    <t xml:space="preserve">Weekend 2 (final day Apr 19)</t>
  </si>
  <si>
    <t xml:space="preserve">2026-04-19</t>
  </si>
  <si>
    <t xml:space="preserve">Empire Polo Club</t>
  </si>
  <si>
    <t xml:space="preserve">Indio</t>
  </si>
  <si>
    <t xml:space="preserve">Multi-genre Festival</t>
  </si>
  <si>
    <t xml:space="preserve">coachella.com</t>
  </si>
  <si>
    <t xml:space="preserve">BeachLife Festival</t>
  </si>
  <si>
    <t xml:space="preserve">Duran Duran, Chainsmokers, Offspring, James Taylor</t>
  </si>
  <si>
    <t xml:space="preserve">2026-05-01</t>
  </si>
  <si>
    <t xml:space="preserve">Redondo Beach</t>
  </si>
  <si>
    <t xml:space="preserve">Rock / Multi-genre</t>
  </si>
  <si>
    <t xml:space="preserve">BeachLife / Live Nation</t>
  </si>
  <si>
    <t xml:space="preserve">Day 2 - My Morning Jacket, Joan Jett</t>
  </si>
  <si>
    <t xml:space="preserve">2026-05-02</t>
  </si>
  <si>
    <t xml:space="preserve">Day 3 - Sheryl Crow, Ben Harper</t>
  </si>
  <si>
    <t xml:space="preserve">2026-05-03</t>
  </si>
  <si>
    <t xml:space="preserve">Just Like Heaven Festival</t>
  </si>
  <si>
    <t xml:space="preserve">The Strokes, LCD Soundsystem, TV Girl, Feist</t>
  </si>
  <si>
    <t xml:space="preserve">2026-05-09</t>
  </si>
  <si>
    <t xml:space="preserve">Brookside at Rose Bowl</t>
  </si>
  <si>
    <t xml:space="preserve">Pasadena</t>
  </si>
  <si>
    <t xml:space="preserve">Indie / Dance Festival</t>
  </si>
  <si>
    <t xml:space="preserve">justlikeheavenfest.com</t>
  </si>
  <si>
    <t xml:space="preserve">Cruel World Festival</t>
  </si>
  <si>
    <t xml:space="preserve">Goth / New Wave (lineup TBA)</t>
  </si>
  <si>
    <t xml:space="preserve">2026-05-16</t>
  </si>
  <si>
    <t xml:space="preserve">Goth / New Wave Festival</t>
  </si>
  <si>
    <t xml:space="preserve">cruelworldfest.com</t>
  </si>
  <si>
    <t xml:space="preserve">Tier A: Arena Headliners</t>
  </si>
  <si>
    <t xml:space="preserve">Major acts at arenas and big amphitheaters — Kia Forum, Crypto.com Arena, Honda Center, Pechanga Arena, North Island Amphitheatre.</t>
  </si>
  <si>
    <t xml:space="preserve">Romeo Santos &amp; Prince Royce</t>
  </si>
  <si>
    <t xml:space="preserve">Mejor Tarde Que Nunca Tour</t>
  </si>
  <si>
    <t xml:space="preserve">2026-05-22</t>
  </si>
  <si>
    <t xml:space="preserve">Honda Center</t>
  </si>
  <si>
    <t xml:space="preserve">Anaheim</t>
  </si>
  <si>
    <t xml:space="preserve">Latin / Bachata</t>
  </si>
  <si>
    <t xml:space="preserve">Ticketmaster / Honda Center</t>
  </si>
  <si>
    <t xml:space="preserve">Machine Gun Kelly</t>
  </si>
  <si>
    <t xml:space="preserve">w/ Wiz Khalifa, Beauty School Dropout</t>
  </si>
  <si>
    <t xml:space="preserve">2026-05-17</t>
  </si>
  <si>
    <t xml:space="preserve">North Island Credit Union Amphitheatre</t>
  </si>
  <si>
    <t xml:space="preserve">Chula Vista</t>
  </si>
  <si>
    <t xml:space="preserve">Hip-Hop / Rock</t>
  </si>
  <si>
    <t xml:space="preserve">Live Nation</t>
  </si>
  <si>
    <t xml:space="preserve">Kesha</t>
  </si>
  <si>
    <t xml:space="preserve">w/ Chromeo, Sizzy Rocket</t>
  </si>
  <si>
    <t xml:space="preserve">2026-05-23</t>
  </si>
  <si>
    <t xml:space="preserve">Pitbull</t>
  </si>
  <si>
    <t xml:space="preserve">w/ Lil Jon</t>
  </si>
  <si>
    <t xml:space="preserve">2026-05-29</t>
  </si>
  <si>
    <t xml:space="preserve">Hip-Hop / Dance</t>
  </si>
  <si>
    <t xml:space="preserve">MANÁ</t>
  </si>
  <si>
    <t xml:space="preserve">Vivir Sin Aire Tour</t>
  </si>
  <si>
    <t xml:space="preserve">2026-06-05</t>
  </si>
  <si>
    <t xml:space="preserve">Latin Rock</t>
  </si>
  <si>
    <t xml:space="preserve">2026-06-06</t>
  </si>
  <si>
    <t xml:space="preserve">2026-10-10</t>
  </si>
  <si>
    <t xml:space="preserve">The Pussycat Dolls</t>
  </si>
  <si>
    <t xml:space="preserve">w/ Lil Kim, Mya</t>
  </si>
  <si>
    <t xml:space="preserve">2026-06-10</t>
  </si>
  <si>
    <t xml:space="preserve">Rod Stewart</t>
  </si>
  <si>
    <t xml:space="preserve">w/ Richard Marx</t>
  </si>
  <si>
    <t xml:space="preserve">2026-06-12</t>
  </si>
  <si>
    <t xml:space="preserve">Summer Walker</t>
  </si>
  <si>
    <t xml:space="preserve">w/ Odeal</t>
  </si>
  <si>
    <t xml:space="preserve">2026-06-25</t>
  </si>
  <si>
    <t xml:space="preserve">Thu</t>
  </si>
  <si>
    <t xml:space="preserve">Crypto.com Arena</t>
  </si>
  <si>
    <t xml:space="preserve">R&amp;B</t>
  </si>
  <si>
    <t xml:space="preserve">Kid Cudi</t>
  </si>
  <si>
    <t xml:space="preserve">w/ M.I.A., Big Boi, Dot Da Genius</t>
  </si>
  <si>
    <t xml:space="preserve">2026-06-26</t>
  </si>
  <si>
    <t xml:space="preserve">Hip-Hop</t>
  </si>
  <si>
    <t xml:space="preserve">w/ M.I.A.</t>
  </si>
  <si>
    <t xml:space="preserve">2026-06-27</t>
  </si>
  <si>
    <t xml:space="preserve">Don Toliver</t>
  </si>
  <si>
    <t xml:space="preserve">w/ SahBabii, SoFaygo, Chase B</t>
  </si>
  <si>
    <t xml:space="preserve">Octane Tour</t>
  </si>
  <si>
    <t xml:space="preserve">2026-06-30</t>
  </si>
  <si>
    <t xml:space="preserve">Tue</t>
  </si>
  <si>
    <t xml:space="preserve">Pechanga Arena</t>
  </si>
  <si>
    <t xml:space="preserve">Rosalia</t>
  </si>
  <si>
    <t xml:space="preserve">Lux Tour 2026</t>
  </si>
  <si>
    <t xml:space="preserve">2026-07-03</t>
  </si>
  <si>
    <t xml:space="preserve">Latin / Alt-Pop</t>
  </si>
  <si>
    <t xml:space="preserve">Chris Stapleton</t>
  </si>
  <si>
    <t xml:space="preserve">w/ Molly Tuttle</t>
  </si>
  <si>
    <t xml:space="preserve">2026-07-10</t>
  </si>
  <si>
    <t xml:space="preserve">Country</t>
  </si>
  <si>
    <t xml:space="preserve">Joji</t>
  </si>
  <si>
    <t xml:space="preserve">Solaris Tour</t>
  </si>
  <si>
    <t xml:space="preserve">2026-07-11</t>
  </si>
  <si>
    <t xml:space="preserve">Alt-R&amp;B</t>
  </si>
  <si>
    <t xml:space="preserve">2026-07-12</t>
  </si>
  <si>
    <t xml:space="preserve">Evanescence</t>
  </si>
  <si>
    <t xml:space="preserve">w/ Spiritbox, Nova Twins</t>
  </si>
  <si>
    <t xml:space="preserve">2026-07-17</t>
  </si>
  <si>
    <t xml:space="preserve">ENHYPEN</t>
  </si>
  <si>
    <t xml:space="preserve">World Tour 'Blood Saga'</t>
  </si>
  <si>
    <t xml:space="preserve">2026-07-31</t>
  </si>
  <si>
    <t xml:space="preserve">K-Pop</t>
  </si>
  <si>
    <t xml:space="preserve">2026-08-01</t>
  </si>
  <si>
    <t xml:space="preserve">Benson Boone</t>
  </si>
  <si>
    <t xml:space="preserve">Wanted Man Tour 2026</t>
  </si>
  <si>
    <t xml:space="preserve">2026-08-11</t>
  </si>
  <si>
    <t xml:space="preserve">Santana &amp; The Doobie Brothers</t>
  </si>
  <si>
    <t xml:space="preserve">Co-Headline Tour</t>
  </si>
  <si>
    <t xml:space="preserve">Toto</t>
  </si>
  <si>
    <t xml:space="preserve">w/ Christopher Cross, The Romantics</t>
  </si>
  <si>
    <t xml:space="preserve">2026-08-12</t>
  </si>
  <si>
    <t xml:space="preserve">KCON LA 2026</t>
  </si>
  <si>
    <t xml:space="preserve">K-Pop Multi-Artist Festival</t>
  </si>
  <si>
    <t xml:space="preserve">2026-08-14</t>
  </si>
  <si>
    <t xml:space="preserve">KCON / Crypto.com Arena</t>
  </si>
  <si>
    <t xml:space="preserve">2026-08-15</t>
  </si>
  <si>
    <t xml:space="preserve">2026-08-16</t>
  </si>
  <si>
    <t xml:space="preserve">Ne-Yo &amp; Akon</t>
  </si>
  <si>
    <t xml:space="preserve">2026-08-18</t>
  </si>
  <si>
    <t xml:space="preserve">R&amp;B / Hip-Hop</t>
  </si>
  <si>
    <t xml:space="preserve">Daniel Caesar</t>
  </si>
  <si>
    <t xml:space="preserve">w/ 070 Shake</t>
  </si>
  <si>
    <t xml:space="preserve">2026-08-23</t>
  </si>
  <si>
    <t xml:space="preserve">2026-08-24</t>
  </si>
  <si>
    <t xml:space="preserve">Mon</t>
  </si>
  <si>
    <t xml:space="preserve">Muse</t>
  </si>
  <si>
    <t xml:space="preserve">w/ Portugal. The Man, The Temper Trap</t>
  </si>
  <si>
    <t xml:space="preserve">2026-08-29</t>
  </si>
  <si>
    <t xml:space="preserve">The Black Crowes</t>
  </si>
  <si>
    <t xml:space="preserve">2026 Tour</t>
  </si>
  <si>
    <t xml:space="preserve">Charlie Puth</t>
  </si>
  <si>
    <t xml:space="preserve">Kia Forum</t>
  </si>
  <si>
    <t xml:space="preserve">Thomas Rhett</t>
  </si>
  <si>
    <t xml:space="preserve">w/ Ernest, Emily Ann Roberts</t>
  </si>
  <si>
    <t xml:space="preserve">2026-10-02</t>
  </si>
  <si>
    <t xml:space="preserve">Breaking Benjamin</t>
  </si>
  <si>
    <t xml:space="preserve">w/ Chevelle, Starset, Kami Kehoe</t>
  </si>
  <si>
    <t xml:space="preserve">2026-10-03</t>
  </si>
  <si>
    <t xml:space="preserve">Chance the Rapper</t>
  </si>
  <si>
    <t xml:space="preserve">Juneteenth Celebration</t>
  </si>
  <si>
    <t xml:space="preserve">2026-06-19</t>
  </si>
  <si>
    <t xml:space="preserve">The Beach Boys + Hollywood Bowl Orchestra</t>
  </si>
  <si>
    <t xml:space="preserve">July 4th Fireworks Spectacular</t>
  </si>
  <si>
    <t xml:space="preserve">Rock / Pop</t>
  </si>
  <si>
    <t xml:space="preserve">2026-07-04</t>
  </si>
  <si>
    <t xml:space="preserve">OneRepublic</t>
  </si>
  <si>
    <t xml:space="preserve">September Fireworks Finale</t>
  </si>
  <si>
    <t xml:space="preserve">2026-09-TBD</t>
  </si>
  <si>
    <t xml:space="preserve">Nas + Hollywood Bowl Orchestra</t>
  </si>
  <si>
    <t xml:space="preserve">Symphonic Hip-Hop</t>
  </si>
  <si>
    <t xml:space="preserve">Herbie Hancock</t>
  </si>
  <si>
    <t xml:space="preserve">LA Phil Jazz Series</t>
  </si>
  <si>
    <t xml:space="preserve">Jazz</t>
  </si>
  <si>
    <t xml:space="preserve">Gladys Knight</t>
  </si>
  <si>
    <t xml:space="preserve">Motown / R&amp;B Night</t>
  </si>
  <si>
    <t xml:space="preserve">R&amp;B / Soul</t>
  </si>
  <si>
    <t xml:space="preserve">ZZ Top + Cheap Trick</t>
  </si>
  <si>
    <t xml:space="preserve">Classic Rock Double Bill</t>
  </si>
  <si>
    <t xml:space="preserve">Tier B: Theater / Mid-Size Acts</t>
  </si>
  <si>
    <t xml:space="preserve">Established acts at theater-sized venues — Greek Theatre, Hollywood Bowl marquee nights, heritage artists.</t>
  </si>
  <si>
    <t xml:space="preserve">Neil Forever: Love at The Greek</t>
  </si>
  <si>
    <t xml:space="preserve">Neil Young tribute show</t>
  </si>
  <si>
    <t xml:space="preserve">2026-04-25</t>
  </si>
  <si>
    <t xml:space="preserve">Greek Theatre</t>
  </si>
  <si>
    <t xml:space="preserve">lagreektheatre.com</t>
  </si>
  <si>
    <t xml:space="preserve">Ozomatli</t>
  </si>
  <si>
    <t xml:space="preserve">30th Anniversary</t>
  </si>
  <si>
    <t xml:space="preserve">2026-05-30</t>
  </si>
  <si>
    <t xml:space="preserve">Latin / World</t>
  </si>
  <si>
    <t xml:space="preserve">The Kid LAROI</t>
  </si>
  <si>
    <t xml:space="preserve">A Perfect World Tour</t>
  </si>
  <si>
    <t xml:space="preserve">Pop / Hip-Hop</t>
  </si>
  <si>
    <t xml:space="preserve">Lindsey Stirling</t>
  </si>
  <si>
    <t xml:space="preserve">w/ PVRIS</t>
  </si>
  <si>
    <t xml:space="preserve">2026-07-30</t>
  </si>
  <si>
    <t xml:space="preserve">Electronic / Violin</t>
  </si>
  <si>
    <t xml:space="preserve">Death Cab for Cutie</t>
  </si>
  <si>
    <t xml:space="preserve">w/ Nation of Language</t>
  </si>
  <si>
    <t xml:space="preserve">2026-08-02</t>
  </si>
  <si>
    <t xml:space="preserve">Indie Rock</t>
  </si>
  <si>
    <t xml:space="preserve">2026-08-03</t>
  </si>
  <si>
    <t xml:space="preserve">Thee Sacred Souls</t>
  </si>
  <si>
    <t xml:space="preserve">Soul</t>
  </si>
  <si>
    <t xml:space="preserve">St. Vincent + Hollywood Bowl Orchestra</t>
  </si>
  <si>
    <t xml:space="preserve">Symphonic Show</t>
  </si>
  <si>
    <t xml:space="preserve">Indie / Art Rock</t>
  </si>
  <si>
    <t xml:space="preserve">Jon Batiste</t>
  </si>
  <si>
    <t xml:space="preserve">Closing night of Bowl season</t>
  </si>
  <si>
    <t xml:space="preserve">Jazz / Soul</t>
  </si>
  <si>
    <t xml:space="preserve">Orville Peck</t>
  </si>
  <si>
    <t xml:space="preserve">LA Phil appearance</t>
  </si>
  <si>
    <t xml:space="preserve">Country / Alt</t>
  </si>
  <si>
    <t xml:space="preserve">Lucy Dacus</t>
  </si>
  <si>
    <t xml:space="preserve">Indie</t>
  </si>
  <si>
    <t xml:space="preserve">De La Soul</t>
  </si>
  <si>
    <t xml:space="preserve">Hip-Hop tribute night</t>
  </si>
  <si>
    <t xml:space="preserve">Adam Ant</t>
  </si>
  <si>
    <t xml:space="preserve">Post-Punk Icon</t>
  </si>
  <si>
    <t xml:space="preserve">New Wave</t>
  </si>
  <si>
    <t xml:space="preserve">Gin Blossoms</t>
  </si>
  <si>
    <t xml:space="preserve">90s Alt-Rock Night</t>
  </si>
  <si>
    <t xml:space="preserve">Alt Rock</t>
  </si>
  <si>
    <t xml:space="preserve">Wyclef Jean</t>
  </si>
  <si>
    <t xml:space="preserve">Hip-Hop / World</t>
  </si>
  <si>
    <t xml:space="preserve">Patti LaBelle</t>
  </si>
  <si>
    <t xml:space="preserve">Soul / R&amp;B Icon</t>
  </si>
  <si>
    <t xml:space="preserve">Soul / R&amp;B</t>
  </si>
  <si>
    <t xml:space="preserve">Ziggy Marley</t>
  </si>
  <si>
    <t xml:space="preserve">Reggae Night</t>
  </si>
  <si>
    <t xml:space="preserve">Reggae</t>
  </si>
  <si>
    <t xml:space="preserve">Buddy Guy</t>
  </si>
  <si>
    <t xml:space="preserve">Blues Legend</t>
  </si>
  <si>
    <t xml:space="preserve">Blues</t>
  </si>
  <si>
    <t xml:space="preserve">Herb Alpert &amp; the Tijuana Brass</t>
  </si>
  <si>
    <t xml:space="preserve">Jazz / Brass</t>
  </si>
  <si>
    <t xml:space="preserve">The Roots</t>
  </si>
  <si>
    <t xml:space="preserve">Hip-Hop Night</t>
  </si>
  <si>
    <t xml:space="preserve">Tower of Power</t>
  </si>
  <si>
    <t xml:space="preserve">Funk / Soul Night</t>
  </si>
  <si>
    <t xml:space="preserve">Funk / Soul</t>
  </si>
  <si>
    <t xml:space="preserve">The Commodores</t>
  </si>
  <si>
    <t xml:space="preserve">Motown / Funk</t>
  </si>
  <si>
    <t xml:space="preserve">Funk / R&amp;B</t>
  </si>
  <si>
    <t xml:space="preserve">Tier C: Club, Emerging &amp; Niche</t>
  </si>
  <si>
    <t xml:space="preserve">Smaller venues (Wiltern, Fonda, Belasco) and niche/genre acts with more accessible pricing.</t>
  </si>
  <si>
    <t xml:space="preserve">She Wants Revenge</t>
  </si>
  <si>
    <t xml:space="preserve">2026 Reunion Tour</t>
  </si>
  <si>
    <t xml:space="preserve">2026-04-23</t>
  </si>
  <si>
    <t xml:space="preserve">The Wiltern</t>
  </si>
  <si>
    <t xml:space="preserve">Indie Rock / Goth</t>
  </si>
  <si>
    <t xml:space="preserve">wiltern.com</t>
  </si>
  <si>
    <t xml:space="preserve">Alice Phoebe Lou</t>
  </si>
  <si>
    <t xml:space="preserve">Oblivion Tour</t>
  </si>
  <si>
    <t xml:space="preserve">2026-04-24</t>
  </si>
  <si>
    <t xml:space="preserve">Indie / Folk</t>
  </si>
  <si>
    <t xml:space="preserve">Cory Wong</t>
  </si>
  <si>
    <t xml:space="preserve">Lost in the Wonder (KCRW Presents)</t>
  </si>
  <si>
    <t xml:space="preserve">Funk / Jazz</t>
  </si>
  <si>
    <t xml:space="preserve">Bethel Music</t>
  </si>
  <si>
    <t xml:space="preserve">2026-04-26</t>
  </si>
  <si>
    <t xml:space="preserve">Christian / Worship</t>
  </si>
  <si>
    <t xml:space="preserve">ANRI</t>
  </si>
  <si>
    <t xml:space="preserve">Live 2026 U.S.A.</t>
  </si>
  <si>
    <t xml:space="preserve">City Pop / J-Pop</t>
  </si>
  <si>
    <t xml:space="preserve">Electric Callboy</t>
  </si>
  <si>
    <t xml:space="preserve">Tekkno World Tour</t>
  </si>
  <si>
    <t xml:space="preserve">2026-04-21</t>
  </si>
  <si>
    <t xml:space="preserve">Electronic / Metal</t>
  </si>
  <si>
    <t xml:space="preserve">thekiaforum.com</t>
  </si>
  <si>
    <t xml:space="preserve">Palomazo Norteño</t>
  </si>
  <si>
    <t xml:space="preserve">Clase Maestra Tour (Lalo Mora, Eliseo Robles, Rosendo Cantu, Raul Hernandez)</t>
  </si>
  <si>
    <t xml:space="preserve">Regional Mexican</t>
  </si>
  <si>
    <t xml:space="preserve">Third Day</t>
  </si>
  <si>
    <t xml:space="preserve">Christian Rock</t>
  </si>
  <si>
    <t xml:space="preserve">Nine Inch Nails</t>
  </si>
  <si>
    <t xml:space="preserve">Peel It Back Tour</t>
  </si>
  <si>
    <t xml:space="preserve">Industrial Rock</t>
  </si>
  <si>
    <t xml:space="preserve">Boys Noize</t>
  </si>
  <si>
    <t xml:space="preserve">Tour</t>
  </si>
  <si>
    <t xml:space="preserve">Electronic / Techno</t>
  </si>
  <si>
    <t xml:space="preserve">Ricardo Arjona</t>
  </si>
  <si>
    <t xml:space="preserve">Blanco y Negro Tour</t>
  </si>
  <si>
    <t xml:space="preserve">Latin</t>
  </si>
  <si>
    <t xml:space="preserve">TV Girl</t>
  </si>
  <si>
    <t xml:space="preserve">At Just Like Heaven Fest</t>
  </si>
  <si>
    <t xml:space="preserve">Indie / Lo-fi</t>
  </si>
  <si>
    <t xml:space="preserve">Feist</t>
  </si>
  <si>
    <t xml:space="preserve">Grouplove</t>
  </si>
  <si>
    <t xml:space="preserve">At BeachLife Festival</t>
  </si>
  <si>
    <t xml:space="preserve">BeachLife</t>
  </si>
  <si>
    <t xml:space="preserve">Peach Pit</t>
  </si>
  <si>
    <t xml:space="preserve">Bob Moses</t>
  </si>
  <si>
    <t xml:space="preserve">Hollywood Bowl appearance</t>
  </si>
  <si>
    <t xml:space="preserve">Electronic / Indie</t>
  </si>
  <si>
    <t xml:space="preserve">Cannons</t>
  </si>
  <si>
    <t xml:space="preserve">Dream Pop</t>
  </si>
  <si>
    <t xml:space="preserve">Cimafunk</t>
  </si>
  <si>
    <t xml:space="preserve">Afro-Cuban Funk</t>
  </si>
  <si>
    <t xml:space="preserve">Jose Gonzalez</t>
  </si>
  <si>
    <t xml:space="preserve">Indie Folk</t>
  </si>
  <si>
    <t xml:space="preserve">Nathy Peluso</t>
  </si>
  <si>
    <t xml:space="preserve">Latin / Experimental</t>
  </si>
  <si>
    <t xml:space="preserve">Ruben Blades</t>
  </si>
  <si>
    <t xml:space="preserve">Salsa / Latin</t>
  </si>
  <si>
    <t xml:space="preserve">Grupo Niche</t>
  </si>
  <si>
    <t xml:space="preserve">Salsa</t>
  </si>
  <si>
    <t xml:space="preserve">Preservation Hall Jazz Band</t>
  </si>
  <si>
    <t xml:space="preserve">The English Beat</t>
  </si>
  <si>
    <t xml:space="preserve">Ska / New Wave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</si>
</sst>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"/>
    <numFmt numFmtId="167" formatCode="\$#,##0;[RED]&quot;-$&quot;#,##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A4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2A44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8"/>
      <color rgb="FF1F2A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1065"/>
        <bgColor rgb="FF1F2A44"/>
      </patternFill>
    </fill>
    <fill>
      <patternFill patternType="solid">
        <fgColor rgb="FF4338CA"/>
        <bgColor rgb="FF3366FF"/>
      </patternFill>
    </fill>
    <fill>
      <patternFill patternType="solid">
        <fgColor rgb="FF0891B2"/>
        <bgColor rgb="FF008080"/>
      </patternFill>
    </fill>
    <fill>
      <patternFill patternType="solid">
        <fgColor rgb="FF9F1239"/>
        <bgColor rgb="FF800000"/>
      </patternFill>
    </fill>
    <fill>
      <patternFill patternType="solid">
        <fgColor rgb="FFE5E7EB"/>
        <bgColor rgb="FFD1D5DB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2E1065"/>
      <rgbColor rgb="FF808000"/>
      <rgbColor rgb="FF800080"/>
      <rgbColor rgb="FF0891B2"/>
      <rgbColor rgb="FFC0C0C0"/>
      <rgbColor rgb="FF777777"/>
      <rgbColor rgb="FF9999FF"/>
      <rgbColor rgb="FF993366"/>
      <rgbColor rgb="FFF8FAF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338CA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72"/>
    <col collapsed="false" customWidth="true" hidden="false" outlineLevel="0" max="4" min="4" style="0" width="18"/>
  </cols>
  <sheetData>
    <row r="1" customFormat="false" ht="26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60" hidden="false" customHeight="true" outlineLevel="0" collapsed="false">
      <c r="A6" s="5" t="s">
        <v>7</v>
      </c>
      <c r="B6" s="6" t="s">
        <v>8</v>
      </c>
      <c r="C6" s="7" t="s">
        <v>9</v>
      </c>
      <c r="D6" s="8" t="s">
        <v>10</v>
      </c>
    </row>
    <row r="7" customFormat="false" ht="60" hidden="false" customHeight="true" outlineLevel="0" collapsed="false">
      <c r="A7" s="9" t="s">
        <v>11</v>
      </c>
      <c r="B7" s="6" t="s">
        <v>12</v>
      </c>
      <c r="C7" s="7" t="s">
        <v>13</v>
      </c>
      <c r="D7" s="8" t="s">
        <v>14</v>
      </c>
    </row>
    <row r="8" customFormat="false" ht="60" hidden="false" customHeight="true" outlineLevel="0" collapsed="false">
      <c r="A8" s="10" t="s">
        <v>15</v>
      </c>
      <c r="B8" s="6" t="s">
        <v>16</v>
      </c>
      <c r="C8" s="7" t="s">
        <v>17</v>
      </c>
      <c r="D8" s="8" t="s">
        <v>18</v>
      </c>
    </row>
    <row r="9" customFormat="false" ht="60" hidden="false" customHeight="true" outlineLevel="0" collapsed="false">
      <c r="A9" s="11" t="s">
        <v>19</v>
      </c>
      <c r="B9" s="6" t="s">
        <v>20</v>
      </c>
      <c r="C9" s="7" t="s">
        <v>21</v>
      </c>
      <c r="D9" s="8" t="s">
        <v>22</v>
      </c>
    </row>
    <row r="11" customFormat="false" ht="16.15" hidden="false" customHeight="false" outlineLevel="0" collapsed="false">
      <c r="A11" s="12" t="s">
        <v>23</v>
      </c>
    </row>
    <row r="12" customFormat="false" ht="15" hidden="false" customHeight="false" outlineLevel="0" collapsed="false">
      <c r="A12" s="13" t="s">
        <v>3</v>
      </c>
      <c r="B12" s="13" t="s">
        <v>24</v>
      </c>
      <c r="C12" s="13" t="s">
        <v>25</v>
      </c>
    </row>
    <row r="13" customFormat="false" ht="15" hidden="false" customHeight="false" outlineLevel="0" collapsed="false">
      <c r="A13" s="14" t="s">
        <v>7</v>
      </c>
      <c r="B13" s="15" t="n">
        <f aca="false">COUNTA('S Tier — Stadium'!A4:A18)</f>
        <v>15</v>
      </c>
      <c r="C13" s="16" t="n">
        <f aca="false">AVERAGE('S Tier — Stadium'!H4:H18)</f>
        <v>170.933333333333</v>
      </c>
    </row>
    <row r="14" customFormat="false" ht="15" hidden="false" customHeight="false" outlineLevel="0" collapsed="false">
      <c r="A14" s="17" t="s">
        <v>11</v>
      </c>
      <c r="B14" s="15" t="n">
        <f aca="false">COUNTA('A Tier — Arena'!A4:A47)</f>
        <v>44</v>
      </c>
      <c r="C14" s="16" t="n">
        <f aca="false">AVERAGE('A Tier — Arena'!H4:H47)</f>
        <v>64.2045454545455</v>
      </c>
    </row>
    <row r="15" customFormat="false" ht="15" hidden="false" customHeight="false" outlineLevel="0" collapsed="false">
      <c r="A15" s="18" t="s">
        <v>15</v>
      </c>
      <c r="B15" s="15" t="n">
        <f aca="false">COUNTA('B Tier — Theater'!A4:A25)</f>
        <v>22</v>
      </c>
      <c r="C15" s="16" t="n">
        <f aca="false">AVERAGE('B Tier — Theater'!H4:H25)</f>
        <v>41.1363636363636</v>
      </c>
    </row>
    <row r="16" customFormat="false" ht="15" hidden="false" customHeight="false" outlineLevel="0" collapsed="false">
      <c r="A16" s="19" t="s">
        <v>19</v>
      </c>
      <c r="B16" s="15" t="n">
        <f aca="false">COUNTA('C Tier — Club &amp; Emerging'!A4:A27)</f>
        <v>24</v>
      </c>
      <c r="C16" s="16" t="n">
        <f aca="false">AVERAGE('C Tier — Club &amp; Emerging'!H4:H27)</f>
        <v>65.625</v>
      </c>
    </row>
    <row r="17" customFormat="false" ht="15" hidden="false" customHeight="false" outlineLevel="0" collapsed="false">
      <c r="A17" s="20" t="s">
        <v>26</v>
      </c>
      <c r="B17" s="20" t="n">
        <f aca="false">SUM(B13:B16)</f>
        <v>105</v>
      </c>
      <c r="C17" s="21" t="n">
        <f aca="false">AVERAGE(C13:C16)</f>
        <v>85.4748106060606</v>
      </c>
    </row>
    <row r="19" customFormat="false" ht="15" hidden="false" customHeight="false" outlineLevel="0" collapsed="false">
      <c r="A19" s="22" t="s">
        <v>27</v>
      </c>
    </row>
    <row r="20" customFormat="false" ht="15" hidden="false" customHeight="false" outlineLevel="0" collapsed="false">
      <c r="A20" s="23" t="s">
        <v>28</v>
      </c>
      <c r="B20" s="23"/>
      <c r="C20" s="23"/>
      <c r="D20" s="23"/>
    </row>
    <row r="21" customFormat="false" ht="15" hidden="false" customHeight="false" outlineLevel="0" collapsed="false">
      <c r="A21" s="23" t="s">
        <v>29</v>
      </c>
      <c r="B21" s="23"/>
      <c r="C21" s="23"/>
      <c r="D21" s="23"/>
    </row>
    <row r="22" customFormat="false" ht="15" hidden="false" customHeight="false" outlineLevel="0" collapsed="false">
      <c r="A22" s="23" t="s">
        <v>30</v>
      </c>
      <c r="B22" s="23"/>
      <c r="C22" s="23"/>
      <c r="D22" s="23"/>
    </row>
    <row r="23" customFormat="false" ht="15" hidden="false" customHeight="false" outlineLevel="0" collapsed="false">
      <c r="A23" s="23" t="s">
        <v>31</v>
      </c>
      <c r="B23" s="23"/>
      <c r="C23" s="23"/>
      <c r="D23" s="23"/>
    </row>
    <row r="24" customFormat="false" ht="15" hidden="false" customHeight="false" outlineLevel="0" collapsed="false">
      <c r="A24" s="23" t="s">
        <v>32</v>
      </c>
      <c r="B24" s="23"/>
      <c r="C24" s="23"/>
      <c r="D24" s="23"/>
    </row>
    <row r="25" customFormat="false" ht="15" hidden="false" customHeight="false" outlineLevel="0" collapsed="false">
      <c r="A25" s="23" t="s">
        <v>33</v>
      </c>
      <c r="B25" s="23"/>
      <c r="C25" s="23"/>
      <c r="D25" s="23"/>
    </row>
    <row r="26" customFormat="false" ht="15" hidden="false" customHeight="false" outlineLevel="0" collapsed="false">
      <c r="A26" s="23" t="s">
        <v>34</v>
      </c>
      <c r="B26" s="23"/>
      <c r="C26" s="23"/>
      <c r="D26" s="23"/>
    </row>
  </sheetData>
  <mergeCells count="7">
    <mergeCell ref="A20:D20"/>
    <mergeCell ref="A21:D21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true" outlineLevel="0" max="13" min="13" style="0" width="13"/>
  </cols>
  <sheetData>
    <row r="1" customFormat="false" ht="27.75" hidden="false" customHeight="true" outlineLevel="0" collapsed="false">
      <c r="A1" s="24" t="s">
        <v>35</v>
      </c>
      <c r="B1" s="24"/>
      <c r="C1" s="24"/>
      <c r="D1" s="24"/>
      <c r="E1" s="24"/>
      <c r="F1" s="24"/>
      <c r="G1" s="24"/>
      <c r="H1" s="24"/>
      <c r="I1" s="24"/>
      <c r="M1" s="0" t="n">
        <v>18</v>
      </c>
    </row>
    <row r="2" customFormat="false" ht="30" hidden="false" customHeight="true" outlineLevel="0" collapsed="false">
      <c r="A2" s="25" t="s">
        <v>36</v>
      </c>
      <c r="B2" s="25"/>
      <c r="C2" s="25"/>
      <c r="D2" s="25"/>
      <c r="E2" s="25"/>
      <c r="F2" s="25"/>
      <c r="G2" s="25"/>
      <c r="H2" s="25"/>
      <c r="I2" s="25"/>
    </row>
    <row r="3" customFormat="false" ht="15" hidden="false" customHeight="false" outlineLevel="0" collapsed="false">
      <c r="A3" s="26" t="s">
        <v>37</v>
      </c>
      <c r="B3" s="26" t="s">
        <v>38</v>
      </c>
      <c r="C3" s="26" t="s">
        <v>39</v>
      </c>
      <c r="D3" s="26" t="s">
        <v>40</v>
      </c>
      <c r="E3" s="26" t="s">
        <v>41</v>
      </c>
      <c r="F3" s="26" t="s">
        <v>42</v>
      </c>
      <c r="G3" s="26" t="s">
        <v>43</v>
      </c>
      <c r="H3" s="26" t="s">
        <v>44</v>
      </c>
      <c r="I3" s="26" t="s">
        <v>45</v>
      </c>
      <c r="K3" s="27" t="s">
        <v>24</v>
      </c>
      <c r="L3" s="27" t="s">
        <v>46</v>
      </c>
    </row>
    <row r="4" customFormat="false" ht="15" hidden="false" customHeight="false" outlineLevel="0" collapsed="false">
      <c r="A4" s="28" t="s">
        <v>47</v>
      </c>
      <c r="B4" s="28" t="s">
        <v>48</v>
      </c>
      <c r="C4" s="29" t="s">
        <v>49</v>
      </c>
      <c r="D4" s="29" t="s">
        <v>50</v>
      </c>
      <c r="E4" s="28" t="s">
        <v>51</v>
      </c>
      <c r="F4" s="28" t="s">
        <v>52</v>
      </c>
      <c r="G4" s="28" t="s">
        <v>53</v>
      </c>
      <c r="H4" s="30" t="n">
        <v>75</v>
      </c>
      <c r="I4" s="28" t="s">
        <v>54</v>
      </c>
      <c r="K4" s="31" t="s">
        <v>55</v>
      </c>
      <c r="L4" s="0" t="n">
        <f aca="false">COUNTA(A4:A18)</f>
        <v>15</v>
      </c>
    </row>
    <row r="5" customFormat="false" ht="15" hidden="false" customHeight="false" outlineLevel="0" collapsed="false">
      <c r="A5" s="32" t="s">
        <v>56</v>
      </c>
      <c r="B5" s="32" t="s">
        <v>57</v>
      </c>
      <c r="C5" s="8" t="s">
        <v>58</v>
      </c>
      <c r="D5" s="8" t="s">
        <v>59</v>
      </c>
      <c r="E5" s="32" t="s">
        <v>60</v>
      </c>
      <c r="F5" s="32" t="s">
        <v>61</v>
      </c>
      <c r="G5" s="32" t="s">
        <v>62</v>
      </c>
      <c r="H5" s="33" t="n">
        <v>90</v>
      </c>
      <c r="I5" s="32" t="s">
        <v>63</v>
      </c>
      <c r="K5" s="31" t="s">
        <v>64</v>
      </c>
      <c r="L5" s="34" t="n">
        <f aca="false">AVERAGE(H4:H18)</f>
        <v>170.933333333333</v>
      </c>
    </row>
    <row r="6" customFormat="false" ht="15" hidden="false" customHeight="false" outlineLevel="0" collapsed="false">
      <c r="A6" s="28" t="s">
        <v>56</v>
      </c>
      <c r="B6" s="28" t="s">
        <v>57</v>
      </c>
      <c r="C6" s="29" t="s">
        <v>65</v>
      </c>
      <c r="D6" s="29" t="s">
        <v>66</v>
      </c>
      <c r="E6" s="28" t="s">
        <v>60</v>
      </c>
      <c r="F6" s="28" t="s">
        <v>61</v>
      </c>
      <c r="G6" s="28" t="s">
        <v>62</v>
      </c>
      <c r="H6" s="30" t="n">
        <v>90</v>
      </c>
      <c r="I6" s="28" t="s">
        <v>63</v>
      </c>
      <c r="K6" s="31" t="s">
        <v>67</v>
      </c>
      <c r="L6" s="34" t="n">
        <f aca="false">MIN(H4:H18)</f>
        <v>75</v>
      </c>
    </row>
    <row r="7" customFormat="false" ht="15" hidden="false" customHeight="false" outlineLevel="0" collapsed="false">
      <c r="A7" s="32" t="s">
        <v>68</v>
      </c>
      <c r="B7" s="32" t="s">
        <v>69</v>
      </c>
      <c r="C7" s="8" t="s">
        <v>70</v>
      </c>
      <c r="D7" s="8" t="s">
        <v>71</v>
      </c>
      <c r="E7" s="32" t="s">
        <v>72</v>
      </c>
      <c r="F7" s="32" t="s">
        <v>73</v>
      </c>
      <c r="G7" s="32" t="s">
        <v>74</v>
      </c>
      <c r="H7" s="33" t="n">
        <v>110</v>
      </c>
      <c r="I7" s="32" t="s">
        <v>72</v>
      </c>
      <c r="K7" s="31" t="s">
        <v>75</v>
      </c>
      <c r="L7" s="34" t="n">
        <f aca="false">MAX(H4:H18)</f>
        <v>549</v>
      </c>
    </row>
    <row r="8" customFormat="false" ht="23.85" hidden="false" customHeight="false" outlineLevel="0" collapsed="false">
      <c r="A8" s="28" t="s">
        <v>76</v>
      </c>
      <c r="B8" s="28" t="s">
        <v>77</v>
      </c>
      <c r="C8" s="29" t="s">
        <v>78</v>
      </c>
      <c r="D8" s="29" t="s">
        <v>50</v>
      </c>
      <c r="E8" s="28" t="s">
        <v>79</v>
      </c>
      <c r="F8" s="28" t="s">
        <v>61</v>
      </c>
      <c r="G8" s="28" t="s">
        <v>80</v>
      </c>
      <c r="H8" s="30" t="n">
        <v>150</v>
      </c>
      <c r="I8" s="28" t="s">
        <v>81</v>
      </c>
    </row>
    <row r="9" customFormat="false" ht="15" hidden="false" customHeight="false" outlineLevel="0" collapsed="false">
      <c r="A9" s="32" t="s">
        <v>82</v>
      </c>
      <c r="B9" s="32" t="s">
        <v>83</v>
      </c>
      <c r="C9" s="8" t="s">
        <v>84</v>
      </c>
      <c r="D9" s="8" t="s">
        <v>50</v>
      </c>
      <c r="E9" s="32" t="s">
        <v>85</v>
      </c>
      <c r="F9" s="32" t="s">
        <v>52</v>
      </c>
      <c r="G9" s="32" t="s">
        <v>86</v>
      </c>
      <c r="H9" s="33" t="n">
        <v>95</v>
      </c>
      <c r="I9" s="32" t="s">
        <v>85</v>
      </c>
    </row>
    <row r="10" customFormat="false" ht="15" hidden="false" customHeight="false" outlineLevel="0" collapsed="false">
      <c r="A10" s="28" t="s">
        <v>82</v>
      </c>
      <c r="B10" s="28" t="s">
        <v>83</v>
      </c>
      <c r="C10" s="29" t="s">
        <v>87</v>
      </c>
      <c r="D10" s="29" t="s">
        <v>66</v>
      </c>
      <c r="E10" s="28" t="s">
        <v>85</v>
      </c>
      <c r="F10" s="28" t="s">
        <v>52</v>
      </c>
      <c r="G10" s="28" t="s">
        <v>86</v>
      </c>
      <c r="H10" s="30" t="n">
        <v>95</v>
      </c>
      <c r="I10" s="28" t="s">
        <v>85</v>
      </c>
    </row>
    <row r="11" customFormat="false" ht="15" hidden="false" customHeight="false" outlineLevel="0" collapsed="false">
      <c r="A11" s="32" t="s">
        <v>88</v>
      </c>
      <c r="B11" s="32" t="s">
        <v>89</v>
      </c>
      <c r="C11" s="8" t="s">
        <v>90</v>
      </c>
      <c r="D11" s="8" t="s">
        <v>91</v>
      </c>
      <c r="E11" s="32" t="s">
        <v>92</v>
      </c>
      <c r="F11" s="32" t="s">
        <v>61</v>
      </c>
      <c r="G11" s="32" t="s">
        <v>93</v>
      </c>
      <c r="H11" s="33" t="n">
        <v>120</v>
      </c>
      <c r="I11" s="32" t="s">
        <v>94</v>
      </c>
    </row>
    <row r="12" customFormat="false" ht="15" hidden="false" customHeight="false" outlineLevel="0" collapsed="false">
      <c r="A12" s="28" t="s">
        <v>95</v>
      </c>
      <c r="B12" s="28" t="s">
        <v>96</v>
      </c>
      <c r="C12" s="29" t="s">
        <v>90</v>
      </c>
      <c r="D12" s="29" t="s">
        <v>91</v>
      </c>
      <c r="E12" s="28" t="s">
        <v>92</v>
      </c>
      <c r="F12" s="28" t="s">
        <v>61</v>
      </c>
      <c r="G12" s="28" t="s">
        <v>97</v>
      </c>
      <c r="H12" s="30" t="n">
        <v>250</v>
      </c>
      <c r="I12" s="28" t="s">
        <v>98</v>
      </c>
    </row>
    <row r="13" customFormat="false" ht="23.85" hidden="false" customHeight="false" outlineLevel="0" collapsed="false">
      <c r="A13" s="32" t="s">
        <v>99</v>
      </c>
      <c r="B13" s="32" t="s">
        <v>100</v>
      </c>
      <c r="C13" s="8" t="s">
        <v>101</v>
      </c>
      <c r="D13" s="8" t="s">
        <v>66</v>
      </c>
      <c r="E13" s="32" t="s">
        <v>102</v>
      </c>
      <c r="F13" s="32" t="s">
        <v>103</v>
      </c>
      <c r="G13" s="32" t="s">
        <v>104</v>
      </c>
      <c r="H13" s="33" t="n">
        <v>549</v>
      </c>
      <c r="I13" s="32" t="s">
        <v>105</v>
      </c>
    </row>
    <row r="14" customFormat="false" ht="15" hidden="false" customHeight="false" outlineLevel="0" collapsed="false">
      <c r="A14" s="28" t="s">
        <v>106</v>
      </c>
      <c r="B14" s="28" t="s">
        <v>107</v>
      </c>
      <c r="C14" s="29" t="s">
        <v>108</v>
      </c>
      <c r="D14" s="29" t="s">
        <v>59</v>
      </c>
      <c r="E14" s="28" t="s">
        <v>109</v>
      </c>
      <c r="F14" s="28" t="s">
        <v>109</v>
      </c>
      <c r="G14" s="28" t="s">
        <v>110</v>
      </c>
      <c r="H14" s="30" t="n">
        <v>165</v>
      </c>
      <c r="I14" s="28" t="s">
        <v>111</v>
      </c>
    </row>
    <row r="15" customFormat="false" ht="15" hidden="false" customHeight="false" outlineLevel="0" collapsed="false">
      <c r="A15" s="32" t="s">
        <v>106</v>
      </c>
      <c r="B15" s="32" t="s">
        <v>112</v>
      </c>
      <c r="C15" s="8" t="s">
        <v>113</v>
      </c>
      <c r="D15" s="8" t="s">
        <v>50</v>
      </c>
      <c r="E15" s="32" t="s">
        <v>109</v>
      </c>
      <c r="F15" s="32" t="s">
        <v>109</v>
      </c>
      <c r="G15" s="32" t="s">
        <v>110</v>
      </c>
      <c r="H15" s="33" t="n">
        <v>165</v>
      </c>
      <c r="I15" s="32" t="s">
        <v>111</v>
      </c>
    </row>
    <row r="16" customFormat="false" ht="15" hidden="false" customHeight="false" outlineLevel="0" collapsed="false">
      <c r="A16" s="28" t="s">
        <v>106</v>
      </c>
      <c r="B16" s="28" t="s">
        <v>114</v>
      </c>
      <c r="C16" s="29" t="s">
        <v>115</v>
      </c>
      <c r="D16" s="29" t="s">
        <v>66</v>
      </c>
      <c r="E16" s="28" t="s">
        <v>109</v>
      </c>
      <c r="F16" s="28" t="s">
        <v>109</v>
      </c>
      <c r="G16" s="28" t="s">
        <v>110</v>
      </c>
      <c r="H16" s="30" t="n">
        <v>165</v>
      </c>
      <c r="I16" s="28" t="s">
        <v>111</v>
      </c>
    </row>
    <row r="17" customFormat="false" ht="15" hidden="false" customHeight="false" outlineLevel="0" collapsed="false">
      <c r="A17" s="32" t="s">
        <v>116</v>
      </c>
      <c r="B17" s="32" t="s">
        <v>117</v>
      </c>
      <c r="C17" s="8" t="s">
        <v>118</v>
      </c>
      <c r="D17" s="8" t="s">
        <v>50</v>
      </c>
      <c r="E17" s="32" t="s">
        <v>119</v>
      </c>
      <c r="F17" s="32" t="s">
        <v>120</v>
      </c>
      <c r="G17" s="32" t="s">
        <v>121</v>
      </c>
      <c r="H17" s="33" t="n">
        <v>220</v>
      </c>
      <c r="I17" s="32" t="s">
        <v>122</v>
      </c>
    </row>
    <row r="18" customFormat="false" ht="15" hidden="false" customHeight="false" outlineLevel="0" collapsed="false">
      <c r="A18" s="28" t="s">
        <v>123</v>
      </c>
      <c r="B18" s="28" t="s">
        <v>124</v>
      </c>
      <c r="C18" s="29" t="s">
        <v>125</v>
      </c>
      <c r="D18" s="29" t="s">
        <v>50</v>
      </c>
      <c r="E18" s="28" t="s">
        <v>119</v>
      </c>
      <c r="F18" s="28" t="s">
        <v>120</v>
      </c>
      <c r="G18" s="28" t="s">
        <v>126</v>
      </c>
      <c r="H18" s="30" t="n">
        <v>225</v>
      </c>
      <c r="I18" s="28" t="s">
        <v>127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true" outlineLevel="0" max="13" min="13" style="0" width="13"/>
  </cols>
  <sheetData>
    <row r="1" customFormat="false" ht="27.75" hidden="false" customHeight="true" outlineLevel="0" collapsed="false">
      <c r="A1" s="24" t="s">
        <v>128</v>
      </c>
      <c r="B1" s="24"/>
      <c r="C1" s="24"/>
      <c r="D1" s="24"/>
      <c r="E1" s="24"/>
      <c r="F1" s="24"/>
      <c r="G1" s="24"/>
      <c r="H1" s="24"/>
      <c r="I1" s="24"/>
      <c r="M1" s="0" t="n">
        <v>47</v>
      </c>
    </row>
    <row r="2" customFormat="false" ht="30" hidden="false" customHeight="true" outlineLevel="0" collapsed="false">
      <c r="A2" s="25" t="s">
        <v>129</v>
      </c>
      <c r="B2" s="25"/>
      <c r="C2" s="25"/>
      <c r="D2" s="25"/>
      <c r="E2" s="25"/>
      <c r="F2" s="25"/>
      <c r="G2" s="25"/>
      <c r="H2" s="25"/>
      <c r="I2" s="25"/>
    </row>
    <row r="3" customFormat="false" ht="15" hidden="false" customHeight="false" outlineLevel="0" collapsed="false">
      <c r="A3" s="35" t="s">
        <v>37</v>
      </c>
      <c r="B3" s="35" t="s">
        <v>38</v>
      </c>
      <c r="C3" s="35" t="s">
        <v>39</v>
      </c>
      <c r="D3" s="35" t="s">
        <v>40</v>
      </c>
      <c r="E3" s="35" t="s">
        <v>41</v>
      </c>
      <c r="F3" s="35" t="s">
        <v>42</v>
      </c>
      <c r="G3" s="35" t="s">
        <v>43</v>
      </c>
      <c r="H3" s="35" t="s">
        <v>44</v>
      </c>
      <c r="I3" s="35" t="s">
        <v>45</v>
      </c>
      <c r="K3" s="36" t="s">
        <v>24</v>
      </c>
      <c r="L3" s="36" t="s">
        <v>46</v>
      </c>
    </row>
    <row r="4" customFormat="false" ht="15" hidden="false" customHeight="false" outlineLevel="0" collapsed="false">
      <c r="A4" s="28" t="s">
        <v>130</v>
      </c>
      <c r="B4" s="28" t="s">
        <v>131</v>
      </c>
      <c r="C4" s="29" t="s">
        <v>132</v>
      </c>
      <c r="D4" s="29" t="s">
        <v>59</v>
      </c>
      <c r="E4" s="28" t="s">
        <v>133</v>
      </c>
      <c r="F4" s="28" t="s">
        <v>134</v>
      </c>
      <c r="G4" s="28" t="s">
        <v>135</v>
      </c>
      <c r="H4" s="30" t="n">
        <v>75</v>
      </c>
      <c r="I4" s="28" t="s">
        <v>136</v>
      </c>
      <c r="K4" s="31" t="s">
        <v>55</v>
      </c>
      <c r="L4" s="0" t="n">
        <f aca="false">COUNTA(A4:A47)</f>
        <v>44</v>
      </c>
    </row>
    <row r="5" customFormat="false" ht="15" hidden="false" customHeight="false" outlineLevel="0" collapsed="false">
      <c r="A5" s="32" t="s">
        <v>137</v>
      </c>
      <c r="B5" s="32" t="s">
        <v>138</v>
      </c>
      <c r="C5" s="8" t="s">
        <v>139</v>
      </c>
      <c r="D5" s="8" t="s">
        <v>66</v>
      </c>
      <c r="E5" s="32" t="s">
        <v>140</v>
      </c>
      <c r="F5" s="32" t="s">
        <v>141</v>
      </c>
      <c r="G5" s="32" t="s">
        <v>142</v>
      </c>
      <c r="H5" s="33" t="n">
        <v>45</v>
      </c>
      <c r="I5" s="32" t="s">
        <v>143</v>
      </c>
      <c r="K5" s="31" t="s">
        <v>64</v>
      </c>
      <c r="L5" s="34" t="n">
        <f aca="false">AVERAGE(H4:H47)</f>
        <v>64.2045454545455</v>
      </c>
    </row>
    <row r="6" customFormat="false" ht="15" hidden="false" customHeight="false" outlineLevel="0" collapsed="false">
      <c r="A6" s="28" t="s">
        <v>144</v>
      </c>
      <c r="B6" s="28" t="s">
        <v>145</v>
      </c>
      <c r="C6" s="29" t="s">
        <v>146</v>
      </c>
      <c r="D6" s="29" t="s">
        <v>50</v>
      </c>
      <c r="E6" s="28" t="s">
        <v>140</v>
      </c>
      <c r="F6" s="28" t="s">
        <v>141</v>
      </c>
      <c r="G6" s="28" t="s">
        <v>53</v>
      </c>
      <c r="H6" s="30" t="n">
        <v>40</v>
      </c>
      <c r="I6" s="28" t="s">
        <v>143</v>
      </c>
      <c r="K6" s="31" t="s">
        <v>67</v>
      </c>
      <c r="L6" s="34" t="n">
        <f aca="false">MIN(H4:H47)</f>
        <v>40</v>
      </c>
    </row>
    <row r="7" customFormat="false" ht="15" hidden="false" customHeight="false" outlineLevel="0" collapsed="false">
      <c r="A7" s="32" t="s">
        <v>147</v>
      </c>
      <c r="B7" s="32" t="s">
        <v>148</v>
      </c>
      <c r="C7" s="8" t="s">
        <v>149</v>
      </c>
      <c r="D7" s="8" t="s">
        <v>59</v>
      </c>
      <c r="E7" s="32" t="s">
        <v>140</v>
      </c>
      <c r="F7" s="32" t="s">
        <v>141</v>
      </c>
      <c r="G7" s="32" t="s">
        <v>150</v>
      </c>
      <c r="H7" s="33" t="n">
        <v>55</v>
      </c>
      <c r="I7" s="32" t="s">
        <v>143</v>
      </c>
      <c r="K7" s="31" t="s">
        <v>75</v>
      </c>
      <c r="L7" s="34" t="n">
        <f aca="false">MAX(H4:H47)</f>
        <v>120</v>
      </c>
    </row>
    <row r="8" customFormat="false" ht="15" hidden="false" customHeight="false" outlineLevel="0" collapsed="false">
      <c r="A8" s="28" t="s">
        <v>151</v>
      </c>
      <c r="B8" s="28" t="s">
        <v>152</v>
      </c>
      <c r="C8" s="29" t="s">
        <v>153</v>
      </c>
      <c r="D8" s="29" t="s">
        <v>59</v>
      </c>
      <c r="E8" s="28" t="s">
        <v>133</v>
      </c>
      <c r="F8" s="28" t="s">
        <v>134</v>
      </c>
      <c r="G8" s="28" t="s">
        <v>154</v>
      </c>
      <c r="H8" s="30" t="n">
        <v>95</v>
      </c>
      <c r="I8" s="28" t="s">
        <v>133</v>
      </c>
    </row>
    <row r="9" customFormat="false" ht="15" hidden="false" customHeight="false" outlineLevel="0" collapsed="false">
      <c r="A9" s="32" t="s">
        <v>151</v>
      </c>
      <c r="B9" s="32" t="s">
        <v>152</v>
      </c>
      <c r="C9" s="8" t="s">
        <v>155</v>
      </c>
      <c r="D9" s="8" t="s">
        <v>50</v>
      </c>
      <c r="E9" s="32" t="s">
        <v>133</v>
      </c>
      <c r="F9" s="32" t="s">
        <v>134</v>
      </c>
      <c r="G9" s="32" t="s">
        <v>154</v>
      </c>
      <c r="H9" s="33" t="n">
        <v>95</v>
      </c>
      <c r="I9" s="32" t="s">
        <v>133</v>
      </c>
    </row>
    <row r="10" customFormat="false" ht="15" hidden="false" customHeight="false" outlineLevel="0" collapsed="false">
      <c r="A10" s="28" t="s">
        <v>151</v>
      </c>
      <c r="B10" s="28" t="s">
        <v>152</v>
      </c>
      <c r="C10" s="29" t="s">
        <v>156</v>
      </c>
      <c r="D10" s="29" t="s">
        <v>50</v>
      </c>
      <c r="E10" s="28" t="s">
        <v>140</v>
      </c>
      <c r="F10" s="28" t="s">
        <v>141</v>
      </c>
      <c r="G10" s="28" t="s">
        <v>154</v>
      </c>
      <c r="H10" s="30" t="n">
        <v>75</v>
      </c>
      <c r="I10" s="28" t="s">
        <v>143</v>
      </c>
    </row>
    <row r="11" customFormat="false" ht="15" hidden="false" customHeight="false" outlineLevel="0" collapsed="false">
      <c r="A11" s="32" t="s">
        <v>157</v>
      </c>
      <c r="B11" s="32" t="s">
        <v>158</v>
      </c>
      <c r="C11" s="8" t="s">
        <v>159</v>
      </c>
      <c r="D11" s="8" t="s">
        <v>71</v>
      </c>
      <c r="E11" s="32" t="s">
        <v>140</v>
      </c>
      <c r="F11" s="32" t="s">
        <v>141</v>
      </c>
      <c r="G11" s="32" t="s">
        <v>53</v>
      </c>
      <c r="H11" s="33" t="n">
        <v>50</v>
      </c>
      <c r="I11" s="32" t="s">
        <v>143</v>
      </c>
    </row>
    <row r="12" customFormat="false" ht="15" hidden="false" customHeight="false" outlineLevel="0" collapsed="false">
      <c r="A12" s="28" t="s">
        <v>160</v>
      </c>
      <c r="B12" s="28" t="s">
        <v>161</v>
      </c>
      <c r="C12" s="29" t="s">
        <v>162</v>
      </c>
      <c r="D12" s="29" t="s">
        <v>59</v>
      </c>
      <c r="E12" s="28" t="s">
        <v>140</v>
      </c>
      <c r="F12" s="28" t="s">
        <v>141</v>
      </c>
      <c r="G12" s="28" t="s">
        <v>74</v>
      </c>
      <c r="H12" s="30" t="n">
        <v>70</v>
      </c>
      <c r="I12" s="28" t="s">
        <v>143</v>
      </c>
    </row>
    <row r="13" customFormat="false" ht="15" hidden="false" customHeight="false" outlineLevel="0" collapsed="false">
      <c r="A13" s="32" t="s">
        <v>163</v>
      </c>
      <c r="B13" s="32" t="s">
        <v>164</v>
      </c>
      <c r="C13" s="8" t="s">
        <v>165</v>
      </c>
      <c r="D13" s="8" t="s">
        <v>166</v>
      </c>
      <c r="E13" s="32" t="s">
        <v>167</v>
      </c>
      <c r="F13" s="32" t="s">
        <v>61</v>
      </c>
      <c r="G13" s="32" t="s">
        <v>168</v>
      </c>
      <c r="H13" s="33" t="n">
        <v>55</v>
      </c>
      <c r="I13" s="32" t="s">
        <v>167</v>
      </c>
    </row>
    <row r="14" customFormat="false" ht="15" hidden="false" customHeight="false" outlineLevel="0" collapsed="false">
      <c r="A14" s="28" t="s">
        <v>169</v>
      </c>
      <c r="B14" s="28" t="s">
        <v>170</v>
      </c>
      <c r="C14" s="29" t="s">
        <v>171</v>
      </c>
      <c r="D14" s="29" t="s">
        <v>59</v>
      </c>
      <c r="E14" s="28" t="s">
        <v>167</v>
      </c>
      <c r="F14" s="28" t="s">
        <v>61</v>
      </c>
      <c r="G14" s="28" t="s">
        <v>172</v>
      </c>
      <c r="H14" s="30" t="n">
        <v>65</v>
      </c>
      <c r="I14" s="28" t="s">
        <v>167</v>
      </c>
    </row>
    <row r="15" customFormat="false" ht="15" hidden="false" customHeight="false" outlineLevel="0" collapsed="false">
      <c r="A15" s="32" t="s">
        <v>169</v>
      </c>
      <c r="B15" s="32" t="s">
        <v>173</v>
      </c>
      <c r="C15" s="8" t="s">
        <v>174</v>
      </c>
      <c r="D15" s="8" t="s">
        <v>50</v>
      </c>
      <c r="E15" s="32" t="s">
        <v>140</v>
      </c>
      <c r="F15" s="32" t="s">
        <v>141</v>
      </c>
      <c r="G15" s="32" t="s">
        <v>172</v>
      </c>
      <c r="H15" s="33" t="n">
        <v>55</v>
      </c>
      <c r="I15" s="32" t="s">
        <v>143</v>
      </c>
    </row>
    <row r="16" customFormat="false" ht="15" hidden="false" customHeight="false" outlineLevel="0" collapsed="false">
      <c r="A16" s="28" t="s">
        <v>175</v>
      </c>
      <c r="B16" s="28" t="s">
        <v>176</v>
      </c>
      <c r="C16" s="29" t="s">
        <v>174</v>
      </c>
      <c r="D16" s="29" t="s">
        <v>50</v>
      </c>
      <c r="E16" s="28" t="s">
        <v>167</v>
      </c>
      <c r="F16" s="28" t="s">
        <v>61</v>
      </c>
      <c r="G16" s="28" t="s">
        <v>172</v>
      </c>
      <c r="H16" s="30" t="n">
        <v>50</v>
      </c>
      <c r="I16" s="28" t="s">
        <v>167</v>
      </c>
    </row>
    <row r="17" customFormat="false" ht="15" hidden="false" customHeight="false" outlineLevel="0" collapsed="false">
      <c r="A17" s="32" t="s">
        <v>175</v>
      </c>
      <c r="B17" s="32" t="s">
        <v>177</v>
      </c>
      <c r="C17" s="8" t="s">
        <v>178</v>
      </c>
      <c r="D17" s="8" t="s">
        <v>179</v>
      </c>
      <c r="E17" s="32" t="s">
        <v>180</v>
      </c>
      <c r="F17" s="32" t="s">
        <v>73</v>
      </c>
      <c r="G17" s="32" t="s">
        <v>172</v>
      </c>
      <c r="H17" s="33" t="n">
        <v>45</v>
      </c>
      <c r="I17" s="32" t="s">
        <v>180</v>
      </c>
    </row>
    <row r="18" customFormat="false" ht="15" hidden="false" customHeight="false" outlineLevel="0" collapsed="false">
      <c r="A18" s="28" t="s">
        <v>181</v>
      </c>
      <c r="B18" s="28" t="s">
        <v>182</v>
      </c>
      <c r="C18" s="29" t="s">
        <v>183</v>
      </c>
      <c r="D18" s="29" t="s">
        <v>59</v>
      </c>
      <c r="E18" s="28" t="s">
        <v>180</v>
      </c>
      <c r="F18" s="28" t="s">
        <v>73</v>
      </c>
      <c r="G18" s="28" t="s">
        <v>184</v>
      </c>
      <c r="H18" s="30" t="n">
        <v>90</v>
      </c>
      <c r="I18" s="28" t="s">
        <v>180</v>
      </c>
    </row>
    <row r="19" customFormat="false" ht="15" hidden="false" customHeight="false" outlineLevel="0" collapsed="false">
      <c r="A19" s="32" t="s">
        <v>185</v>
      </c>
      <c r="B19" s="32" t="s">
        <v>186</v>
      </c>
      <c r="C19" s="8" t="s">
        <v>187</v>
      </c>
      <c r="D19" s="8" t="s">
        <v>59</v>
      </c>
      <c r="E19" s="32" t="s">
        <v>140</v>
      </c>
      <c r="F19" s="32" t="s">
        <v>141</v>
      </c>
      <c r="G19" s="32" t="s">
        <v>188</v>
      </c>
      <c r="H19" s="33" t="n">
        <v>85</v>
      </c>
      <c r="I19" s="32" t="s">
        <v>143</v>
      </c>
    </row>
    <row r="20" customFormat="false" ht="15" hidden="false" customHeight="false" outlineLevel="0" collapsed="false">
      <c r="A20" s="28" t="s">
        <v>189</v>
      </c>
      <c r="B20" s="28" t="s">
        <v>190</v>
      </c>
      <c r="C20" s="29" t="s">
        <v>191</v>
      </c>
      <c r="D20" s="29" t="s">
        <v>50</v>
      </c>
      <c r="E20" s="28" t="s">
        <v>85</v>
      </c>
      <c r="F20" s="28" t="s">
        <v>52</v>
      </c>
      <c r="G20" s="28" t="s">
        <v>192</v>
      </c>
      <c r="H20" s="30" t="n">
        <v>65</v>
      </c>
      <c r="I20" s="28" t="s">
        <v>85</v>
      </c>
    </row>
    <row r="21" customFormat="false" ht="15" hidden="false" customHeight="false" outlineLevel="0" collapsed="false">
      <c r="A21" s="32" t="s">
        <v>189</v>
      </c>
      <c r="B21" s="32" t="s">
        <v>190</v>
      </c>
      <c r="C21" s="8" t="s">
        <v>193</v>
      </c>
      <c r="D21" s="8" t="s">
        <v>66</v>
      </c>
      <c r="E21" s="32" t="s">
        <v>85</v>
      </c>
      <c r="F21" s="32" t="s">
        <v>52</v>
      </c>
      <c r="G21" s="32" t="s">
        <v>192</v>
      </c>
      <c r="H21" s="33" t="n">
        <v>65</v>
      </c>
      <c r="I21" s="32" t="s">
        <v>85</v>
      </c>
    </row>
    <row r="22" customFormat="false" ht="15" hidden="false" customHeight="false" outlineLevel="0" collapsed="false">
      <c r="A22" s="28" t="s">
        <v>194</v>
      </c>
      <c r="B22" s="28" t="s">
        <v>195</v>
      </c>
      <c r="C22" s="29" t="s">
        <v>196</v>
      </c>
      <c r="D22" s="29" t="s">
        <v>59</v>
      </c>
      <c r="E22" s="28" t="s">
        <v>140</v>
      </c>
      <c r="F22" s="28" t="s">
        <v>141</v>
      </c>
      <c r="G22" s="28" t="s">
        <v>74</v>
      </c>
      <c r="H22" s="30" t="n">
        <v>50</v>
      </c>
      <c r="I22" s="28" t="s">
        <v>143</v>
      </c>
    </row>
    <row r="23" customFormat="false" ht="15" hidden="false" customHeight="false" outlineLevel="0" collapsed="false">
      <c r="A23" s="32" t="s">
        <v>197</v>
      </c>
      <c r="B23" s="32" t="s">
        <v>198</v>
      </c>
      <c r="C23" s="8" t="s">
        <v>199</v>
      </c>
      <c r="D23" s="8" t="s">
        <v>59</v>
      </c>
      <c r="E23" s="32" t="s">
        <v>72</v>
      </c>
      <c r="F23" s="32" t="s">
        <v>73</v>
      </c>
      <c r="G23" s="32" t="s">
        <v>200</v>
      </c>
      <c r="H23" s="33" t="n">
        <v>85</v>
      </c>
      <c r="I23" s="32" t="s">
        <v>72</v>
      </c>
    </row>
    <row r="24" customFormat="false" ht="15" hidden="false" customHeight="false" outlineLevel="0" collapsed="false">
      <c r="A24" s="28" t="s">
        <v>197</v>
      </c>
      <c r="B24" s="28" t="s">
        <v>198</v>
      </c>
      <c r="C24" s="29" t="s">
        <v>201</v>
      </c>
      <c r="D24" s="29" t="s">
        <v>50</v>
      </c>
      <c r="E24" s="28" t="s">
        <v>72</v>
      </c>
      <c r="F24" s="28" t="s">
        <v>73</v>
      </c>
      <c r="G24" s="28" t="s">
        <v>200</v>
      </c>
      <c r="H24" s="30" t="n">
        <v>85</v>
      </c>
      <c r="I24" s="28" t="s">
        <v>72</v>
      </c>
    </row>
    <row r="25" customFormat="false" ht="15" hidden="false" customHeight="false" outlineLevel="0" collapsed="false">
      <c r="A25" s="32" t="s">
        <v>202</v>
      </c>
      <c r="B25" s="32" t="s">
        <v>203</v>
      </c>
      <c r="C25" s="8" t="s">
        <v>204</v>
      </c>
      <c r="D25" s="8" t="s">
        <v>179</v>
      </c>
      <c r="E25" s="32" t="s">
        <v>167</v>
      </c>
      <c r="F25" s="32" t="s">
        <v>61</v>
      </c>
      <c r="G25" s="32" t="s">
        <v>53</v>
      </c>
      <c r="H25" s="33" t="n">
        <v>60</v>
      </c>
      <c r="I25" s="32" t="s">
        <v>167</v>
      </c>
    </row>
    <row r="26" customFormat="false" ht="23.85" hidden="false" customHeight="false" outlineLevel="0" collapsed="false">
      <c r="A26" s="28" t="s">
        <v>205</v>
      </c>
      <c r="B26" s="28" t="s">
        <v>206</v>
      </c>
      <c r="C26" s="29" t="s">
        <v>204</v>
      </c>
      <c r="D26" s="29" t="s">
        <v>179</v>
      </c>
      <c r="E26" s="28" t="s">
        <v>140</v>
      </c>
      <c r="F26" s="28" t="s">
        <v>141</v>
      </c>
      <c r="G26" s="28" t="s">
        <v>74</v>
      </c>
      <c r="H26" s="30" t="n">
        <v>55</v>
      </c>
      <c r="I26" s="28" t="s">
        <v>143</v>
      </c>
    </row>
    <row r="27" customFormat="false" ht="15" hidden="false" customHeight="false" outlineLevel="0" collapsed="false">
      <c r="A27" s="32" t="s">
        <v>207</v>
      </c>
      <c r="B27" s="32" t="s">
        <v>208</v>
      </c>
      <c r="C27" s="8" t="s">
        <v>209</v>
      </c>
      <c r="D27" s="8" t="s">
        <v>71</v>
      </c>
      <c r="E27" s="32" t="s">
        <v>140</v>
      </c>
      <c r="F27" s="32" t="s">
        <v>141</v>
      </c>
      <c r="G27" s="32" t="s">
        <v>74</v>
      </c>
      <c r="H27" s="33" t="n">
        <v>40</v>
      </c>
      <c r="I27" s="32" t="s">
        <v>143</v>
      </c>
    </row>
    <row r="28" customFormat="false" ht="15" hidden="false" customHeight="false" outlineLevel="0" collapsed="false">
      <c r="A28" s="28" t="s">
        <v>210</v>
      </c>
      <c r="B28" s="28" t="s">
        <v>211</v>
      </c>
      <c r="C28" s="29" t="s">
        <v>212</v>
      </c>
      <c r="D28" s="29" t="s">
        <v>59</v>
      </c>
      <c r="E28" s="28" t="s">
        <v>167</v>
      </c>
      <c r="F28" s="28" t="s">
        <v>61</v>
      </c>
      <c r="G28" s="28" t="s">
        <v>200</v>
      </c>
      <c r="H28" s="30" t="n">
        <v>120</v>
      </c>
      <c r="I28" s="28" t="s">
        <v>213</v>
      </c>
    </row>
    <row r="29" customFormat="false" ht="15" hidden="false" customHeight="false" outlineLevel="0" collapsed="false">
      <c r="A29" s="32" t="s">
        <v>210</v>
      </c>
      <c r="B29" s="32" t="s">
        <v>211</v>
      </c>
      <c r="C29" s="8" t="s">
        <v>214</v>
      </c>
      <c r="D29" s="8" t="s">
        <v>50</v>
      </c>
      <c r="E29" s="32" t="s">
        <v>167</v>
      </c>
      <c r="F29" s="32" t="s">
        <v>61</v>
      </c>
      <c r="G29" s="32" t="s">
        <v>200</v>
      </c>
      <c r="H29" s="33" t="n">
        <v>120</v>
      </c>
      <c r="I29" s="32" t="s">
        <v>213</v>
      </c>
    </row>
    <row r="30" customFormat="false" ht="15" hidden="false" customHeight="false" outlineLevel="0" collapsed="false">
      <c r="A30" s="28" t="s">
        <v>210</v>
      </c>
      <c r="B30" s="28" t="s">
        <v>211</v>
      </c>
      <c r="C30" s="29" t="s">
        <v>215</v>
      </c>
      <c r="D30" s="29" t="s">
        <v>66</v>
      </c>
      <c r="E30" s="28" t="s">
        <v>167</v>
      </c>
      <c r="F30" s="28" t="s">
        <v>61</v>
      </c>
      <c r="G30" s="28" t="s">
        <v>200</v>
      </c>
      <c r="H30" s="30" t="n">
        <v>120</v>
      </c>
      <c r="I30" s="28" t="s">
        <v>213</v>
      </c>
    </row>
    <row r="31" customFormat="false" ht="15" hidden="false" customHeight="false" outlineLevel="0" collapsed="false">
      <c r="A31" s="32" t="s">
        <v>202</v>
      </c>
      <c r="B31" s="32" t="s">
        <v>203</v>
      </c>
      <c r="C31" s="8" t="s">
        <v>214</v>
      </c>
      <c r="D31" s="8" t="s">
        <v>50</v>
      </c>
      <c r="E31" s="32" t="s">
        <v>180</v>
      </c>
      <c r="F31" s="32" t="s">
        <v>73</v>
      </c>
      <c r="G31" s="32" t="s">
        <v>53</v>
      </c>
      <c r="H31" s="33" t="n">
        <v>55</v>
      </c>
      <c r="I31" s="32" t="s">
        <v>180</v>
      </c>
    </row>
    <row r="32" customFormat="false" ht="15" hidden="false" customHeight="false" outlineLevel="0" collapsed="false">
      <c r="A32" s="28" t="s">
        <v>216</v>
      </c>
      <c r="B32" s="28" t="s">
        <v>206</v>
      </c>
      <c r="C32" s="29" t="s">
        <v>217</v>
      </c>
      <c r="D32" s="29" t="s">
        <v>179</v>
      </c>
      <c r="E32" s="28" t="s">
        <v>140</v>
      </c>
      <c r="F32" s="28" t="s">
        <v>141</v>
      </c>
      <c r="G32" s="28" t="s">
        <v>218</v>
      </c>
      <c r="H32" s="30" t="n">
        <v>45</v>
      </c>
      <c r="I32" s="28" t="s">
        <v>143</v>
      </c>
    </row>
    <row r="33" customFormat="false" ht="15" hidden="false" customHeight="false" outlineLevel="0" collapsed="false">
      <c r="A33" s="32" t="s">
        <v>219</v>
      </c>
      <c r="B33" s="32" t="s">
        <v>220</v>
      </c>
      <c r="C33" s="8" t="s">
        <v>221</v>
      </c>
      <c r="D33" s="8" t="s">
        <v>66</v>
      </c>
      <c r="E33" s="32" t="s">
        <v>133</v>
      </c>
      <c r="F33" s="32" t="s">
        <v>134</v>
      </c>
      <c r="G33" s="32" t="s">
        <v>168</v>
      </c>
      <c r="H33" s="33" t="n">
        <v>60</v>
      </c>
      <c r="I33" s="32" t="s">
        <v>133</v>
      </c>
    </row>
    <row r="34" customFormat="false" ht="15" hidden="false" customHeight="false" outlineLevel="0" collapsed="false">
      <c r="A34" s="28" t="s">
        <v>219</v>
      </c>
      <c r="B34" s="28" t="s">
        <v>220</v>
      </c>
      <c r="C34" s="29" t="s">
        <v>222</v>
      </c>
      <c r="D34" s="29" t="s">
        <v>223</v>
      </c>
      <c r="E34" s="28" t="s">
        <v>133</v>
      </c>
      <c r="F34" s="28" t="s">
        <v>134</v>
      </c>
      <c r="G34" s="28" t="s">
        <v>168</v>
      </c>
      <c r="H34" s="30" t="n">
        <v>60</v>
      </c>
      <c r="I34" s="28" t="s">
        <v>133</v>
      </c>
    </row>
    <row r="35" customFormat="false" ht="15" hidden="false" customHeight="false" outlineLevel="0" collapsed="false">
      <c r="A35" s="32" t="s">
        <v>224</v>
      </c>
      <c r="B35" s="32" t="s">
        <v>225</v>
      </c>
      <c r="C35" s="8" t="s">
        <v>226</v>
      </c>
      <c r="D35" s="8" t="s">
        <v>50</v>
      </c>
      <c r="E35" s="32" t="s">
        <v>140</v>
      </c>
      <c r="F35" s="32" t="s">
        <v>141</v>
      </c>
      <c r="G35" s="32" t="s">
        <v>74</v>
      </c>
      <c r="H35" s="33" t="n">
        <v>70</v>
      </c>
      <c r="I35" s="32" t="s">
        <v>143</v>
      </c>
    </row>
    <row r="36" customFormat="false" ht="15" hidden="false" customHeight="false" outlineLevel="0" collapsed="false">
      <c r="A36" s="28" t="s">
        <v>227</v>
      </c>
      <c r="B36" s="28" t="s">
        <v>228</v>
      </c>
      <c r="C36" s="29" t="s">
        <v>70</v>
      </c>
      <c r="D36" s="29" t="s">
        <v>71</v>
      </c>
      <c r="E36" s="28" t="s">
        <v>72</v>
      </c>
      <c r="F36" s="28" t="s">
        <v>73</v>
      </c>
      <c r="G36" s="28" t="s">
        <v>74</v>
      </c>
      <c r="H36" s="30" t="n">
        <v>50</v>
      </c>
      <c r="I36" s="28" t="s">
        <v>72</v>
      </c>
    </row>
    <row r="37" customFormat="false" ht="15" hidden="false" customHeight="false" outlineLevel="0" collapsed="false">
      <c r="A37" s="32" t="s">
        <v>229</v>
      </c>
      <c r="B37" s="32" t="s">
        <v>228</v>
      </c>
      <c r="C37" s="8" t="s">
        <v>90</v>
      </c>
      <c r="D37" s="8" t="s">
        <v>91</v>
      </c>
      <c r="E37" s="32" t="s">
        <v>230</v>
      </c>
      <c r="F37" s="32" t="s">
        <v>52</v>
      </c>
      <c r="G37" s="32" t="s">
        <v>53</v>
      </c>
      <c r="H37" s="33" t="n">
        <v>55</v>
      </c>
      <c r="I37" s="32" t="s">
        <v>230</v>
      </c>
    </row>
    <row r="38" customFormat="false" ht="15" hidden="false" customHeight="false" outlineLevel="0" collapsed="false">
      <c r="A38" s="28" t="s">
        <v>231</v>
      </c>
      <c r="B38" s="28" t="s">
        <v>232</v>
      </c>
      <c r="C38" s="29" t="s">
        <v>233</v>
      </c>
      <c r="D38" s="29" t="s">
        <v>59</v>
      </c>
      <c r="E38" s="28" t="s">
        <v>133</v>
      </c>
      <c r="F38" s="28" t="s">
        <v>134</v>
      </c>
      <c r="G38" s="28" t="s">
        <v>188</v>
      </c>
      <c r="H38" s="30" t="n">
        <v>50</v>
      </c>
      <c r="I38" s="28" t="s">
        <v>133</v>
      </c>
    </row>
    <row r="39" customFormat="false" ht="15" hidden="false" customHeight="false" outlineLevel="0" collapsed="false">
      <c r="A39" s="32" t="s">
        <v>234</v>
      </c>
      <c r="B39" s="32" t="s">
        <v>235</v>
      </c>
      <c r="C39" s="8" t="s">
        <v>236</v>
      </c>
      <c r="D39" s="8" t="s">
        <v>50</v>
      </c>
      <c r="E39" s="32" t="s">
        <v>133</v>
      </c>
      <c r="F39" s="32" t="s">
        <v>134</v>
      </c>
      <c r="G39" s="32" t="s">
        <v>74</v>
      </c>
      <c r="H39" s="33" t="n">
        <v>45</v>
      </c>
      <c r="I39" s="32" t="s">
        <v>133</v>
      </c>
    </row>
    <row r="40" customFormat="false" ht="15" hidden="false" customHeight="false" outlineLevel="0" collapsed="false">
      <c r="A40" s="28" t="s">
        <v>237</v>
      </c>
      <c r="B40" s="28" t="s">
        <v>238</v>
      </c>
      <c r="C40" s="29" t="s">
        <v>239</v>
      </c>
      <c r="D40" s="29" t="s">
        <v>59</v>
      </c>
      <c r="E40" s="28" t="s">
        <v>79</v>
      </c>
      <c r="F40" s="28" t="s">
        <v>61</v>
      </c>
      <c r="G40" s="28" t="s">
        <v>172</v>
      </c>
      <c r="H40" s="30" t="n">
        <v>55</v>
      </c>
      <c r="I40" s="28" t="s">
        <v>81</v>
      </c>
    </row>
    <row r="41" customFormat="false" ht="23.85" hidden="false" customHeight="false" outlineLevel="0" collapsed="false">
      <c r="A41" s="32" t="s">
        <v>240</v>
      </c>
      <c r="B41" s="32" t="s">
        <v>241</v>
      </c>
      <c r="C41" s="8" t="s">
        <v>183</v>
      </c>
      <c r="D41" s="8" t="s">
        <v>59</v>
      </c>
      <c r="E41" s="32" t="s">
        <v>79</v>
      </c>
      <c r="F41" s="32" t="s">
        <v>61</v>
      </c>
      <c r="G41" s="32" t="s">
        <v>242</v>
      </c>
      <c r="H41" s="33" t="n">
        <v>60</v>
      </c>
      <c r="I41" s="32" t="s">
        <v>81</v>
      </c>
    </row>
    <row r="42" customFormat="false" ht="23.85" hidden="false" customHeight="false" outlineLevel="0" collapsed="false">
      <c r="A42" s="28" t="s">
        <v>240</v>
      </c>
      <c r="B42" s="28" t="s">
        <v>241</v>
      </c>
      <c r="C42" s="29" t="s">
        <v>243</v>
      </c>
      <c r="D42" s="29" t="s">
        <v>50</v>
      </c>
      <c r="E42" s="28" t="s">
        <v>79</v>
      </c>
      <c r="F42" s="28" t="s">
        <v>61</v>
      </c>
      <c r="G42" s="28" t="s">
        <v>242</v>
      </c>
      <c r="H42" s="30" t="n">
        <v>60</v>
      </c>
      <c r="I42" s="28" t="s">
        <v>81</v>
      </c>
    </row>
    <row r="43" customFormat="false" ht="15" hidden="false" customHeight="false" outlineLevel="0" collapsed="false">
      <c r="A43" s="32" t="s">
        <v>244</v>
      </c>
      <c r="B43" s="32" t="s">
        <v>245</v>
      </c>
      <c r="C43" s="8" t="s">
        <v>246</v>
      </c>
      <c r="D43" s="8" t="s">
        <v>91</v>
      </c>
      <c r="E43" s="32" t="s">
        <v>79</v>
      </c>
      <c r="F43" s="32" t="s">
        <v>61</v>
      </c>
      <c r="G43" s="32" t="s">
        <v>53</v>
      </c>
      <c r="H43" s="33" t="n">
        <v>65</v>
      </c>
      <c r="I43" s="32" t="s">
        <v>81</v>
      </c>
    </row>
    <row r="44" customFormat="false" ht="23.85" hidden="false" customHeight="false" outlineLevel="0" collapsed="false">
      <c r="A44" s="28" t="s">
        <v>247</v>
      </c>
      <c r="B44" s="28" t="s">
        <v>248</v>
      </c>
      <c r="C44" s="29" t="s">
        <v>90</v>
      </c>
      <c r="D44" s="29" t="s">
        <v>91</v>
      </c>
      <c r="E44" s="28" t="s">
        <v>79</v>
      </c>
      <c r="F44" s="28" t="s">
        <v>61</v>
      </c>
      <c r="G44" s="28" t="s">
        <v>172</v>
      </c>
      <c r="H44" s="30" t="n">
        <v>55</v>
      </c>
      <c r="I44" s="28" t="s">
        <v>81</v>
      </c>
    </row>
    <row r="45" customFormat="false" ht="15" hidden="false" customHeight="false" outlineLevel="0" collapsed="false">
      <c r="A45" s="32" t="s">
        <v>249</v>
      </c>
      <c r="B45" s="32" t="s">
        <v>250</v>
      </c>
      <c r="C45" s="8" t="s">
        <v>90</v>
      </c>
      <c r="D45" s="8" t="s">
        <v>91</v>
      </c>
      <c r="E45" s="32" t="s">
        <v>79</v>
      </c>
      <c r="F45" s="32" t="s">
        <v>61</v>
      </c>
      <c r="G45" s="32" t="s">
        <v>251</v>
      </c>
      <c r="H45" s="33" t="n">
        <v>40</v>
      </c>
      <c r="I45" s="32" t="s">
        <v>81</v>
      </c>
    </row>
    <row r="46" customFormat="false" ht="15" hidden="false" customHeight="false" outlineLevel="0" collapsed="false">
      <c r="A46" s="28" t="s">
        <v>252</v>
      </c>
      <c r="B46" s="28" t="s">
        <v>253</v>
      </c>
      <c r="C46" s="29" t="s">
        <v>90</v>
      </c>
      <c r="D46" s="29" t="s">
        <v>91</v>
      </c>
      <c r="E46" s="28" t="s">
        <v>79</v>
      </c>
      <c r="F46" s="28" t="s">
        <v>61</v>
      </c>
      <c r="G46" s="28" t="s">
        <v>254</v>
      </c>
      <c r="H46" s="30" t="n">
        <v>45</v>
      </c>
      <c r="I46" s="28" t="s">
        <v>81</v>
      </c>
    </row>
    <row r="47" customFormat="false" ht="15" hidden="false" customHeight="false" outlineLevel="0" collapsed="false">
      <c r="A47" s="32" t="s">
        <v>255</v>
      </c>
      <c r="B47" s="32" t="s">
        <v>256</v>
      </c>
      <c r="C47" s="8" t="s">
        <v>90</v>
      </c>
      <c r="D47" s="8" t="s">
        <v>91</v>
      </c>
      <c r="E47" s="32" t="s">
        <v>79</v>
      </c>
      <c r="F47" s="32" t="s">
        <v>61</v>
      </c>
      <c r="G47" s="32" t="s">
        <v>74</v>
      </c>
      <c r="H47" s="33" t="n">
        <v>45</v>
      </c>
      <c r="I47" s="32" t="s">
        <v>81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true" outlineLevel="0" max="13" min="13" style="0" width="13"/>
  </cols>
  <sheetData>
    <row r="1" customFormat="false" ht="27.75" hidden="false" customHeight="true" outlineLevel="0" collapsed="false">
      <c r="A1" s="24" t="s">
        <v>257</v>
      </c>
      <c r="B1" s="24"/>
      <c r="C1" s="24"/>
      <c r="D1" s="24"/>
      <c r="E1" s="24"/>
      <c r="F1" s="24"/>
      <c r="G1" s="24"/>
      <c r="H1" s="24"/>
      <c r="I1" s="24"/>
      <c r="M1" s="0" t="n">
        <v>25</v>
      </c>
    </row>
    <row r="2" customFormat="false" ht="30" hidden="false" customHeight="true" outlineLevel="0" collapsed="false">
      <c r="A2" s="25" t="s">
        <v>258</v>
      </c>
      <c r="B2" s="25"/>
      <c r="C2" s="25"/>
      <c r="D2" s="25"/>
      <c r="E2" s="25"/>
      <c r="F2" s="25"/>
      <c r="G2" s="25"/>
      <c r="H2" s="25"/>
      <c r="I2" s="25"/>
    </row>
    <row r="3" customFormat="false" ht="15" hidden="false" customHeight="false" outlineLevel="0" collapsed="false">
      <c r="A3" s="37" t="s">
        <v>37</v>
      </c>
      <c r="B3" s="37" t="s">
        <v>38</v>
      </c>
      <c r="C3" s="37" t="s">
        <v>39</v>
      </c>
      <c r="D3" s="37" t="s">
        <v>40</v>
      </c>
      <c r="E3" s="37" t="s">
        <v>41</v>
      </c>
      <c r="F3" s="37" t="s">
        <v>42</v>
      </c>
      <c r="G3" s="37" t="s">
        <v>43</v>
      </c>
      <c r="H3" s="37" t="s">
        <v>44</v>
      </c>
      <c r="I3" s="37" t="s">
        <v>45</v>
      </c>
      <c r="K3" s="38" t="s">
        <v>24</v>
      </c>
      <c r="L3" s="38" t="s">
        <v>46</v>
      </c>
    </row>
    <row r="4" customFormat="false" ht="23.85" hidden="false" customHeight="false" outlineLevel="0" collapsed="false">
      <c r="A4" s="28" t="s">
        <v>259</v>
      </c>
      <c r="B4" s="28" t="s">
        <v>260</v>
      </c>
      <c r="C4" s="29" t="s">
        <v>261</v>
      </c>
      <c r="D4" s="29" t="s">
        <v>50</v>
      </c>
      <c r="E4" s="28" t="s">
        <v>262</v>
      </c>
      <c r="F4" s="28" t="s">
        <v>61</v>
      </c>
      <c r="G4" s="28" t="s">
        <v>74</v>
      </c>
      <c r="H4" s="30" t="n">
        <v>45</v>
      </c>
      <c r="I4" s="28" t="s">
        <v>263</v>
      </c>
      <c r="K4" s="31" t="s">
        <v>55</v>
      </c>
      <c r="L4" s="0" t="n">
        <f aca="false">COUNTA(A4:A25)</f>
        <v>22</v>
      </c>
    </row>
    <row r="5" customFormat="false" ht="15" hidden="false" customHeight="false" outlineLevel="0" collapsed="false">
      <c r="A5" s="32" t="s">
        <v>264</v>
      </c>
      <c r="B5" s="32" t="s">
        <v>265</v>
      </c>
      <c r="C5" s="8" t="s">
        <v>266</v>
      </c>
      <c r="D5" s="8" t="s">
        <v>50</v>
      </c>
      <c r="E5" s="32" t="s">
        <v>262</v>
      </c>
      <c r="F5" s="32" t="s">
        <v>61</v>
      </c>
      <c r="G5" s="32" t="s">
        <v>267</v>
      </c>
      <c r="H5" s="33" t="n">
        <v>35</v>
      </c>
      <c r="I5" s="32" t="s">
        <v>263</v>
      </c>
      <c r="K5" s="31" t="s">
        <v>64</v>
      </c>
      <c r="L5" s="34" t="n">
        <f aca="false">AVERAGE(H4:H25)</f>
        <v>41.1363636363636</v>
      </c>
    </row>
    <row r="6" customFormat="false" ht="15" hidden="false" customHeight="false" outlineLevel="0" collapsed="false">
      <c r="A6" s="28" t="s">
        <v>268</v>
      </c>
      <c r="B6" s="28" t="s">
        <v>269</v>
      </c>
      <c r="C6" s="29" t="s">
        <v>155</v>
      </c>
      <c r="D6" s="29" t="s">
        <v>50</v>
      </c>
      <c r="E6" s="28" t="s">
        <v>262</v>
      </c>
      <c r="F6" s="28" t="s">
        <v>61</v>
      </c>
      <c r="G6" s="28" t="s">
        <v>270</v>
      </c>
      <c r="H6" s="30" t="n">
        <v>65</v>
      </c>
      <c r="I6" s="28" t="s">
        <v>263</v>
      </c>
      <c r="K6" s="31" t="s">
        <v>67</v>
      </c>
      <c r="L6" s="34" t="n">
        <f aca="false">MIN(H4:H25)</f>
        <v>35</v>
      </c>
    </row>
    <row r="7" customFormat="false" ht="15" hidden="false" customHeight="false" outlineLevel="0" collapsed="false">
      <c r="A7" s="32" t="s">
        <v>271</v>
      </c>
      <c r="B7" s="32" t="s">
        <v>272</v>
      </c>
      <c r="C7" s="8" t="s">
        <v>273</v>
      </c>
      <c r="D7" s="8" t="s">
        <v>166</v>
      </c>
      <c r="E7" s="32" t="s">
        <v>262</v>
      </c>
      <c r="F7" s="32" t="s">
        <v>61</v>
      </c>
      <c r="G7" s="32" t="s">
        <v>274</v>
      </c>
      <c r="H7" s="33" t="n">
        <v>45</v>
      </c>
      <c r="I7" s="32" t="s">
        <v>263</v>
      </c>
      <c r="K7" s="31" t="s">
        <v>75</v>
      </c>
      <c r="L7" s="34" t="n">
        <f aca="false">MAX(H4:H25)</f>
        <v>65</v>
      </c>
    </row>
    <row r="8" customFormat="false" ht="15" hidden="false" customHeight="false" outlineLevel="0" collapsed="false">
      <c r="A8" s="28" t="s">
        <v>275</v>
      </c>
      <c r="B8" s="28" t="s">
        <v>276</v>
      </c>
      <c r="C8" s="29" t="s">
        <v>277</v>
      </c>
      <c r="D8" s="29" t="s">
        <v>66</v>
      </c>
      <c r="E8" s="28" t="s">
        <v>262</v>
      </c>
      <c r="F8" s="28" t="s">
        <v>61</v>
      </c>
      <c r="G8" s="28" t="s">
        <v>278</v>
      </c>
      <c r="H8" s="30" t="n">
        <v>50</v>
      </c>
      <c r="I8" s="28" t="s">
        <v>263</v>
      </c>
    </row>
    <row r="9" customFormat="false" ht="15" hidden="false" customHeight="false" outlineLevel="0" collapsed="false">
      <c r="A9" s="32" t="s">
        <v>275</v>
      </c>
      <c r="B9" s="32" t="s">
        <v>276</v>
      </c>
      <c r="C9" s="8" t="s">
        <v>279</v>
      </c>
      <c r="D9" s="8" t="s">
        <v>223</v>
      </c>
      <c r="E9" s="32" t="s">
        <v>262</v>
      </c>
      <c r="F9" s="32" t="s">
        <v>61</v>
      </c>
      <c r="G9" s="32" t="s">
        <v>278</v>
      </c>
      <c r="H9" s="33" t="n">
        <v>50</v>
      </c>
      <c r="I9" s="32" t="s">
        <v>263</v>
      </c>
    </row>
    <row r="10" customFormat="false" ht="15" hidden="false" customHeight="false" outlineLevel="0" collapsed="false">
      <c r="A10" s="28" t="s">
        <v>280</v>
      </c>
      <c r="B10" s="28" t="s">
        <v>228</v>
      </c>
      <c r="C10" s="29" t="s">
        <v>90</v>
      </c>
      <c r="D10" s="29" t="s">
        <v>91</v>
      </c>
      <c r="E10" s="28" t="s">
        <v>262</v>
      </c>
      <c r="F10" s="28" t="s">
        <v>61</v>
      </c>
      <c r="G10" s="28" t="s">
        <v>281</v>
      </c>
      <c r="H10" s="30" t="n">
        <v>45</v>
      </c>
      <c r="I10" s="28" t="s">
        <v>263</v>
      </c>
    </row>
    <row r="11" customFormat="false" ht="23.85" hidden="false" customHeight="false" outlineLevel="0" collapsed="false">
      <c r="A11" s="32" t="s">
        <v>282</v>
      </c>
      <c r="B11" s="32" t="s">
        <v>283</v>
      </c>
      <c r="C11" s="8" t="s">
        <v>90</v>
      </c>
      <c r="D11" s="8" t="s">
        <v>91</v>
      </c>
      <c r="E11" s="32" t="s">
        <v>79</v>
      </c>
      <c r="F11" s="32" t="s">
        <v>61</v>
      </c>
      <c r="G11" s="32" t="s">
        <v>284</v>
      </c>
      <c r="H11" s="33" t="n">
        <v>45</v>
      </c>
      <c r="I11" s="32" t="s">
        <v>81</v>
      </c>
    </row>
    <row r="12" customFormat="false" ht="15" hidden="false" customHeight="false" outlineLevel="0" collapsed="false">
      <c r="A12" s="28" t="s">
        <v>285</v>
      </c>
      <c r="B12" s="28" t="s">
        <v>286</v>
      </c>
      <c r="C12" s="29" t="s">
        <v>65</v>
      </c>
      <c r="D12" s="29" t="s">
        <v>66</v>
      </c>
      <c r="E12" s="28" t="s">
        <v>79</v>
      </c>
      <c r="F12" s="28" t="s">
        <v>61</v>
      </c>
      <c r="G12" s="28" t="s">
        <v>287</v>
      </c>
      <c r="H12" s="30" t="n">
        <v>40</v>
      </c>
      <c r="I12" s="28" t="s">
        <v>81</v>
      </c>
    </row>
    <row r="13" customFormat="false" ht="15" hidden="false" customHeight="false" outlineLevel="0" collapsed="false">
      <c r="A13" s="32" t="s">
        <v>288</v>
      </c>
      <c r="B13" s="32" t="s">
        <v>289</v>
      </c>
      <c r="C13" s="8" t="s">
        <v>90</v>
      </c>
      <c r="D13" s="8" t="s">
        <v>91</v>
      </c>
      <c r="E13" s="32" t="s">
        <v>79</v>
      </c>
      <c r="F13" s="32" t="s">
        <v>61</v>
      </c>
      <c r="G13" s="32" t="s">
        <v>290</v>
      </c>
      <c r="H13" s="33" t="n">
        <v>40</v>
      </c>
      <c r="I13" s="32" t="s">
        <v>81</v>
      </c>
    </row>
    <row r="14" customFormat="false" ht="15" hidden="false" customHeight="false" outlineLevel="0" collapsed="false">
      <c r="A14" s="28" t="s">
        <v>291</v>
      </c>
      <c r="B14" s="28" t="s">
        <v>289</v>
      </c>
      <c r="C14" s="29" t="s">
        <v>90</v>
      </c>
      <c r="D14" s="29" t="s">
        <v>91</v>
      </c>
      <c r="E14" s="28" t="s">
        <v>79</v>
      </c>
      <c r="F14" s="28" t="s">
        <v>61</v>
      </c>
      <c r="G14" s="28" t="s">
        <v>292</v>
      </c>
      <c r="H14" s="30" t="n">
        <v>35</v>
      </c>
      <c r="I14" s="28" t="s">
        <v>81</v>
      </c>
    </row>
    <row r="15" customFormat="false" ht="15" hidden="false" customHeight="false" outlineLevel="0" collapsed="false">
      <c r="A15" s="32" t="s">
        <v>293</v>
      </c>
      <c r="B15" s="32" t="s">
        <v>294</v>
      </c>
      <c r="C15" s="8" t="s">
        <v>90</v>
      </c>
      <c r="D15" s="8" t="s">
        <v>91</v>
      </c>
      <c r="E15" s="32" t="s">
        <v>79</v>
      </c>
      <c r="F15" s="32" t="s">
        <v>61</v>
      </c>
      <c r="G15" s="32" t="s">
        <v>172</v>
      </c>
      <c r="H15" s="33" t="n">
        <v>40</v>
      </c>
      <c r="I15" s="32" t="s">
        <v>81</v>
      </c>
    </row>
    <row r="16" customFormat="false" ht="15" hidden="false" customHeight="false" outlineLevel="0" collapsed="false">
      <c r="A16" s="28" t="s">
        <v>295</v>
      </c>
      <c r="B16" s="28" t="s">
        <v>296</v>
      </c>
      <c r="C16" s="29" t="s">
        <v>90</v>
      </c>
      <c r="D16" s="29" t="s">
        <v>91</v>
      </c>
      <c r="E16" s="28" t="s">
        <v>79</v>
      </c>
      <c r="F16" s="28" t="s">
        <v>61</v>
      </c>
      <c r="G16" s="28" t="s">
        <v>297</v>
      </c>
      <c r="H16" s="30" t="n">
        <v>35</v>
      </c>
      <c r="I16" s="28" t="s">
        <v>81</v>
      </c>
    </row>
    <row r="17" customFormat="false" ht="15" hidden="false" customHeight="false" outlineLevel="0" collapsed="false">
      <c r="A17" s="32" t="s">
        <v>298</v>
      </c>
      <c r="B17" s="32" t="s">
        <v>299</v>
      </c>
      <c r="C17" s="8" t="s">
        <v>90</v>
      </c>
      <c r="D17" s="8" t="s">
        <v>91</v>
      </c>
      <c r="E17" s="32" t="s">
        <v>79</v>
      </c>
      <c r="F17" s="32" t="s">
        <v>61</v>
      </c>
      <c r="G17" s="32" t="s">
        <v>300</v>
      </c>
      <c r="H17" s="33" t="n">
        <v>35</v>
      </c>
      <c r="I17" s="32" t="s">
        <v>81</v>
      </c>
    </row>
    <row r="18" customFormat="false" ht="15" hidden="false" customHeight="false" outlineLevel="0" collapsed="false">
      <c r="A18" s="28" t="s">
        <v>301</v>
      </c>
      <c r="B18" s="28" t="s">
        <v>289</v>
      </c>
      <c r="C18" s="29" t="s">
        <v>90</v>
      </c>
      <c r="D18" s="29" t="s">
        <v>91</v>
      </c>
      <c r="E18" s="28" t="s">
        <v>79</v>
      </c>
      <c r="F18" s="28" t="s">
        <v>61</v>
      </c>
      <c r="G18" s="28" t="s">
        <v>302</v>
      </c>
      <c r="H18" s="30" t="n">
        <v>35</v>
      </c>
      <c r="I18" s="28" t="s">
        <v>81</v>
      </c>
    </row>
    <row r="19" customFormat="false" ht="15" hidden="false" customHeight="false" outlineLevel="0" collapsed="false">
      <c r="A19" s="32" t="s">
        <v>303</v>
      </c>
      <c r="B19" s="32" t="s">
        <v>304</v>
      </c>
      <c r="C19" s="8" t="s">
        <v>90</v>
      </c>
      <c r="D19" s="8" t="s">
        <v>91</v>
      </c>
      <c r="E19" s="32" t="s">
        <v>79</v>
      </c>
      <c r="F19" s="32" t="s">
        <v>61</v>
      </c>
      <c r="G19" s="32" t="s">
        <v>305</v>
      </c>
      <c r="H19" s="33" t="n">
        <v>40</v>
      </c>
      <c r="I19" s="32" t="s">
        <v>81</v>
      </c>
    </row>
    <row r="20" customFormat="false" ht="15" hidden="false" customHeight="false" outlineLevel="0" collapsed="false">
      <c r="A20" s="28" t="s">
        <v>306</v>
      </c>
      <c r="B20" s="28" t="s">
        <v>307</v>
      </c>
      <c r="C20" s="29" t="s">
        <v>90</v>
      </c>
      <c r="D20" s="29" t="s">
        <v>91</v>
      </c>
      <c r="E20" s="28" t="s">
        <v>79</v>
      </c>
      <c r="F20" s="28" t="s">
        <v>61</v>
      </c>
      <c r="G20" s="28" t="s">
        <v>308</v>
      </c>
      <c r="H20" s="30" t="n">
        <v>35</v>
      </c>
      <c r="I20" s="28" t="s">
        <v>81</v>
      </c>
    </row>
    <row r="21" customFormat="false" ht="15" hidden="false" customHeight="false" outlineLevel="0" collapsed="false">
      <c r="A21" s="32" t="s">
        <v>309</v>
      </c>
      <c r="B21" s="32" t="s">
        <v>310</v>
      </c>
      <c r="C21" s="8" t="s">
        <v>90</v>
      </c>
      <c r="D21" s="8" t="s">
        <v>91</v>
      </c>
      <c r="E21" s="32" t="s">
        <v>79</v>
      </c>
      <c r="F21" s="32" t="s">
        <v>61</v>
      </c>
      <c r="G21" s="32" t="s">
        <v>311</v>
      </c>
      <c r="H21" s="33" t="n">
        <v>35</v>
      </c>
      <c r="I21" s="32" t="s">
        <v>81</v>
      </c>
    </row>
    <row r="22" customFormat="false" ht="15" hidden="false" customHeight="false" outlineLevel="0" collapsed="false">
      <c r="A22" s="28" t="s">
        <v>312</v>
      </c>
      <c r="B22" s="28" t="s">
        <v>289</v>
      </c>
      <c r="C22" s="29" t="s">
        <v>90</v>
      </c>
      <c r="D22" s="29" t="s">
        <v>91</v>
      </c>
      <c r="E22" s="28" t="s">
        <v>79</v>
      </c>
      <c r="F22" s="28" t="s">
        <v>61</v>
      </c>
      <c r="G22" s="28" t="s">
        <v>313</v>
      </c>
      <c r="H22" s="30" t="n">
        <v>35</v>
      </c>
      <c r="I22" s="28" t="s">
        <v>81</v>
      </c>
    </row>
    <row r="23" customFormat="false" ht="15" hidden="false" customHeight="false" outlineLevel="0" collapsed="false">
      <c r="A23" s="32" t="s">
        <v>314</v>
      </c>
      <c r="B23" s="32" t="s">
        <v>315</v>
      </c>
      <c r="C23" s="8" t="s">
        <v>90</v>
      </c>
      <c r="D23" s="8" t="s">
        <v>91</v>
      </c>
      <c r="E23" s="32" t="s">
        <v>79</v>
      </c>
      <c r="F23" s="32" t="s">
        <v>61</v>
      </c>
      <c r="G23" s="32" t="s">
        <v>172</v>
      </c>
      <c r="H23" s="33" t="n">
        <v>45</v>
      </c>
      <c r="I23" s="32" t="s">
        <v>81</v>
      </c>
    </row>
    <row r="24" customFormat="false" ht="15" hidden="false" customHeight="false" outlineLevel="0" collapsed="false">
      <c r="A24" s="28" t="s">
        <v>316</v>
      </c>
      <c r="B24" s="28" t="s">
        <v>317</v>
      </c>
      <c r="C24" s="29" t="s">
        <v>90</v>
      </c>
      <c r="D24" s="29" t="s">
        <v>91</v>
      </c>
      <c r="E24" s="28" t="s">
        <v>79</v>
      </c>
      <c r="F24" s="28" t="s">
        <v>61</v>
      </c>
      <c r="G24" s="28" t="s">
        <v>318</v>
      </c>
      <c r="H24" s="30" t="n">
        <v>40</v>
      </c>
      <c r="I24" s="28" t="s">
        <v>81</v>
      </c>
    </row>
    <row r="25" customFormat="false" ht="15" hidden="false" customHeight="false" outlineLevel="0" collapsed="false">
      <c r="A25" s="32" t="s">
        <v>319</v>
      </c>
      <c r="B25" s="32" t="s">
        <v>320</v>
      </c>
      <c r="C25" s="8" t="s">
        <v>90</v>
      </c>
      <c r="D25" s="8" t="s">
        <v>91</v>
      </c>
      <c r="E25" s="32" t="s">
        <v>79</v>
      </c>
      <c r="F25" s="32" t="s">
        <v>61</v>
      </c>
      <c r="G25" s="32" t="s">
        <v>321</v>
      </c>
      <c r="H25" s="33" t="n">
        <v>35</v>
      </c>
      <c r="I25" s="32" t="s">
        <v>81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true" outlineLevel="0" max="13" min="13" style="0" width="13"/>
  </cols>
  <sheetData>
    <row r="1" customFormat="false" ht="27.75" hidden="false" customHeight="true" outlineLevel="0" collapsed="false">
      <c r="A1" s="24" t="s">
        <v>322</v>
      </c>
      <c r="B1" s="24"/>
      <c r="C1" s="24"/>
      <c r="D1" s="24"/>
      <c r="E1" s="24"/>
      <c r="F1" s="24"/>
      <c r="G1" s="24"/>
      <c r="H1" s="24"/>
      <c r="I1" s="24"/>
      <c r="M1" s="0" t="n">
        <v>27</v>
      </c>
    </row>
    <row r="2" customFormat="false" ht="30" hidden="false" customHeight="true" outlineLevel="0" collapsed="false">
      <c r="A2" s="25" t="s">
        <v>323</v>
      </c>
      <c r="B2" s="25"/>
      <c r="C2" s="25"/>
      <c r="D2" s="25"/>
      <c r="E2" s="25"/>
      <c r="F2" s="25"/>
      <c r="G2" s="25"/>
      <c r="H2" s="25"/>
      <c r="I2" s="25"/>
    </row>
    <row r="3" customFormat="false" ht="15" hidden="false" customHeight="false" outlineLevel="0" collapsed="false">
      <c r="A3" s="39" t="s">
        <v>37</v>
      </c>
      <c r="B3" s="39" t="s">
        <v>38</v>
      </c>
      <c r="C3" s="39" t="s">
        <v>39</v>
      </c>
      <c r="D3" s="39" t="s">
        <v>40</v>
      </c>
      <c r="E3" s="39" t="s">
        <v>41</v>
      </c>
      <c r="F3" s="39" t="s">
        <v>42</v>
      </c>
      <c r="G3" s="39" t="s">
        <v>43</v>
      </c>
      <c r="H3" s="39" t="s">
        <v>44</v>
      </c>
      <c r="I3" s="39" t="s">
        <v>45</v>
      </c>
      <c r="K3" s="40" t="s">
        <v>24</v>
      </c>
      <c r="L3" s="40" t="s">
        <v>46</v>
      </c>
    </row>
    <row r="4" customFormat="false" ht="15" hidden="false" customHeight="false" outlineLevel="0" collapsed="false">
      <c r="A4" s="28" t="s">
        <v>324</v>
      </c>
      <c r="B4" s="28" t="s">
        <v>325</v>
      </c>
      <c r="C4" s="29" t="s">
        <v>326</v>
      </c>
      <c r="D4" s="29" t="s">
        <v>166</v>
      </c>
      <c r="E4" s="28" t="s">
        <v>327</v>
      </c>
      <c r="F4" s="28" t="s">
        <v>61</v>
      </c>
      <c r="G4" s="28" t="s">
        <v>328</v>
      </c>
      <c r="H4" s="30" t="n">
        <v>40</v>
      </c>
      <c r="I4" s="28" t="s">
        <v>329</v>
      </c>
      <c r="K4" s="31" t="s">
        <v>55</v>
      </c>
      <c r="L4" s="0" t="n">
        <f aca="false">COUNTA(A4:A27)</f>
        <v>24</v>
      </c>
    </row>
    <row r="5" customFormat="false" ht="15" hidden="false" customHeight="false" outlineLevel="0" collapsed="false">
      <c r="A5" s="32" t="s">
        <v>330</v>
      </c>
      <c r="B5" s="32" t="s">
        <v>331</v>
      </c>
      <c r="C5" s="8" t="s">
        <v>332</v>
      </c>
      <c r="D5" s="8" t="s">
        <v>59</v>
      </c>
      <c r="E5" s="32" t="s">
        <v>327</v>
      </c>
      <c r="F5" s="32" t="s">
        <v>61</v>
      </c>
      <c r="G5" s="32" t="s">
        <v>333</v>
      </c>
      <c r="H5" s="33" t="n">
        <v>35</v>
      </c>
      <c r="I5" s="32" t="s">
        <v>329</v>
      </c>
      <c r="K5" s="31" t="s">
        <v>64</v>
      </c>
      <c r="L5" s="34" t="n">
        <f aca="false">AVERAGE(H4:H27)</f>
        <v>65.625</v>
      </c>
    </row>
    <row r="6" customFormat="false" ht="15" hidden="false" customHeight="false" outlineLevel="0" collapsed="false">
      <c r="A6" s="28" t="s">
        <v>334</v>
      </c>
      <c r="B6" s="28" t="s">
        <v>335</v>
      </c>
      <c r="C6" s="29" t="s">
        <v>261</v>
      </c>
      <c r="D6" s="29" t="s">
        <v>50</v>
      </c>
      <c r="E6" s="28" t="s">
        <v>327</v>
      </c>
      <c r="F6" s="28" t="s">
        <v>61</v>
      </c>
      <c r="G6" s="28" t="s">
        <v>336</v>
      </c>
      <c r="H6" s="30" t="n">
        <v>40</v>
      </c>
      <c r="I6" s="28" t="s">
        <v>329</v>
      </c>
      <c r="K6" s="31" t="s">
        <v>67</v>
      </c>
      <c r="L6" s="34" t="n">
        <f aca="false">MIN(H4:H27)</f>
        <v>30</v>
      </c>
    </row>
    <row r="7" customFormat="false" ht="15" hidden="false" customHeight="false" outlineLevel="0" collapsed="false">
      <c r="A7" s="32" t="s">
        <v>337</v>
      </c>
      <c r="B7" s="32" t="s">
        <v>228</v>
      </c>
      <c r="C7" s="8" t="s">
        <v>338</v>
      </c>
      <c r="D7" s="8" t="s">
        <v>66</v>
      </c>
      <c r="E7" s="32" t="s">
        <v>327</v>
      </c>
      <c r="F7" s="32" t="s">
        <v>61</v>
      </c>
      <c r="G7" s="32" t="s">
        <v>339</v>
      </c>
      <c r="H7" s="33" t="n">
        <v>45</v>
      </c>
      <c r="I7" s="32" t="s">
        <v>329</v>
      </c>
      <c r="K7" s="31" t="s">
        <v>75</v>
      </c>
      <c r="L7" s="34" t="n">
        <f aca="false">MAX(H4:H27)</f>
        <v>220</v>
      </c>
    </row>
    <row r="8" customFormat="false" ht="15" hidden="false" customHeight="false" outlineLevel="0" collapsed="false">
      <c r="A8" s="28" t="s">
        <v>340</v>
      </c>
      <c r="B8" s="28" t="s">
        <v>341</v>
      </c>
      <c r="C8" s="29" t="s">
        <v>90</v>
      </c>
      <c r="D8" s="29" t="s">
        <v>91</v>
      </c>
      <c r="E8" s="28" t="s">
        <v>327</v>
      </c>
      <c r="F8" s="28" t="s">
        <v>61</v>
      </c>
      <c r="G8" s="28" t="s">
        <v>342</v>
      </c>
      <c r="H8" s="30" t="n">
        <v>55</v>
      </c>
      <c r="I8" s="28" t="s">
        <v>329</v>
      </c>
    </row>
    <row r="9" customFormat="false" ht="15" hidden="false" customHeight="false" outlineLevel="0" collapsed="false">
      <c r="A9" s="32" t="s">
        <v>343</v>
      </c>
      <c r="B9" s="32" t="s">
        <v>344</v>
      </c>
      <c r="C9" s="8" t="s">
        <v>345</v>
      </c>
      <c r="D9" s="8" t="s">
        <v>179</v>
      </c>
      <c r="E9" s="32" t="s">
        <v>230</v>
      </c>
      <c r="F9" s="32" t="s">
        <v>52</v>
      </c>
      <c r="G9" s="32" t="s">
        <v>346</v>
      </c>
      <c r="H9" s="33" t="n">
        <v>50</v>
      </c>
      <c r="I9" s="32" t="s">
        <v>347</v>
      </c>
    </row>
    <row r="10" customFormat="false" ht="23.85" hidden="false" customHeight="false" outlineLevel="0" collapsed="false">
      <c r="A10" s="28" t="s">
        <v>348</v>
      </c>
      <c r="B10" s="28" t="s">
        <v>349</v>
      </c>
      <c r="C10" s="29" t="s">
        <v>171</v>
      </c>
      <c r="D10" s="29" t="s">
        <v>59</v>
      </c>
      <c r="E10" s="28" t="s">
        <v>230</v>
      </c>
      <c r="F10" s="28" t="s">
        <v>52</v>
      </c>
      <c r="G10" s="28" t="s">
        <v>350</v>
      </c>
      <c r="H10" s="30" t="n">
        <v>45</v>
      </c>
      <c r="I10" s="28" t="s">
        <v>347</v>
      </c>
    </row>
    <row r="11" customFormat="false" ht="15" hidden="false" customHeight="false" outlineLevel="0" collapsed="false">
      <c r="A11" s="32" t="s">
        <v>351</v>
      </c>
      <c r="B11" s="32" t="s">
        <v>228</v>
      </c>
      <c r="C11" s="8" t="s">
        <v>261</v>
      </c>
      <c r="D11" s="8" t="s">
        <v>50</v>
      </c>
      <c r="E11" s="32" t="s">
        <v>180</v>
      </c>
      <c r="F11" s="32" t="s">
        <v>73</v>
      </c>
      <c r="G11" s="32" t="s">
        <v>352</v>
      </c>
      <c r="H11" s="33" t="n">
        <v>30</v>
      </c>
      <c r="I11" s="32" t="s">
        <v>180</v>
      </c>
    </row>
    <row r="12" customFormat="false" ht="15" hidden="false" customHeight="false" outlineLevel="0" collapsed="false">
      <c r="A12" s="28" t="s">
        <v>353</v>
      </c>
      <c r="B12" s="28" t="s">
        <v>354</v>
      </c>
      <c r="C12" s="29" t="s">
        <v>90</v>
      </c>
      <c r="D12" s="29" t="s">
        <v>91</v>
      </c>
      <c r="E12" s="28" t="s">
        <v>180</v>
      </c>
      <c r="F12" s="28" t="s">
        <v>73</v>
      </c>
      <c r="G12" s="28" t="s">
        <v>355</v>
      </c>
      <c r="H12" s="30" t="n">
        <v>60</v>
      </c>
      <c r="I12" s="28" t="s">
        <v>180</v>
      </c>
    </row>
    <row r="13" customFormat="false" ht="15" hidden="false" customHeight="false" outlineLevel="0" collapsed="false">
      <c r="A13" s="32" t="s">
        <v>356</v>
      </c>
      <c r="B13" s="32" t="s">
        <v>357</v>
      </c>
      <c r="C13" s="8" t="s">
        <v>90</v>
      </c>
      <c r="D13" s="8" t="s">
        <v>91</v>
      </c>
      <c r="E13" s="32" t="s">
        <v>180</v>
      </c>
      <c r="F13" s="32" t="s">
        <v>73</v>
      </c>
      <c r="G13" s="32" t="s">
        <v>358</v>
      </c>
      <c r="H13" s="33" t="n">
        <v>40</v>
      </c>
      <c r="I13" s="32" t="s">
        <v>180</v>
      </c>
    </row>
    <row r="14" customFormat="false" ht="15" hidden="false" customHeight="false" outlineLevel="0" collapsed="false">
      <c r="A14" s="28" t="s">
        <v>359</v>
      </c>
      <c r="B14" s="28" t="s">
        <v>360</v>
      </c>
      <c r="C14" s="29" t="s">
        <v>90</v>
      </c>
      <c r="D14" s="29" t="s">
        <v>91</v>
      </c>
      <c r="E14" s="28" t="s">
        <v>180</v>
      </c>
      <c r="F14" s="28" t="s">
        <v>73</v>
      </c>
      <c r="G14" s="28" t="s">
        <v>361</v>
      </c>
      <c r="H14" s="30" t="n">
        <v>70</v>
      </c>
      <c r="I14" s="28" t="s">
        <v>180</v>
      </c>
    </row>
    <row r="15" customFormat="false" ht="15" hidden="false" customHeight="false" outlineLevel="0" collapsed="false">
      <c r="A15" s="32" t="s">
        <v>362</v>
      </c>
      <c r="B15" s="32" t="s">
        <v>363</v>
      </c>
      <c r="C15" s="8" t="s">
        <v>118</v>
      </c>
      <c r="D15" s="8" t="s">
        <v>50</v>
      </c>
      <c r="E15" s="32" t="s">
        <v>119</v>
      </c>
      <c r="F15" s="32" t="s">
        <v>120</v>
      </c>
      <c r="G15" s="32" t="s">
        <v>364</v>
      </c>
      <c r="H15" s="33" t="n">
        <v>220</v>
      </c>
      <c r="I15" s="32" t="s">
        <v>122</v>
      </c>
    </row>
    <row r="16" customFormat="false" ht="15" hidden="false" customHeight="false" outlineLevel="0" collapsed="false">
      <c r="A16" s="28" t="s">
        <v>365</v>
      </c>
      <c r="B16" s="28" t="s">
        <v>363</v>
      </c>
      <c r="C16" s="29" t="s">
        <v>118</v>
      </c>
      <c r="D16" s="29" t="s">
        <v>50</v>
      </c>
      <c r="E16" s="28" t="s">
        <v>119</v>
      </c>
      <c r="F16" s="28" t="s">
        <v>120</v>
      </c>
      <c r="G16" s="28" t="s">
        <v>292</v>
      </c>
      <c r="H16" s="30" t="n">
        <v>220</v>
      </c>
      <c r="I16" s="28" t="s">
        <v>122</v>
      </c>
    </row>
    <row r="17" customFormat="false" ht="15" hidden="false" customHeight="false" outlineLevel="0" collapsed="false">
      <c r="A17" s="32" t="s">
        <v>366</v>
      </c>
      <c r="B17" s="32" t="s">
        <v>367</v>
      </c>
      <c r="C17" s="8" t="s">
        <v>115</v>
      </c>
      <c r="D17" s="8" t="s">
        <v>66</v>
      </c>
      <c r="E17" s="32" t="s">
        <v>109</v>
      </c>
      <c r="F17" s="32" t="s">
        <v>109</v>
      </c>
      <c r="G17" s="32" t="s">
        <v>278</v>
      </c>
      <c r="H17" s="33" t="n">
        <v>165</v>
      </c>
      <c r="I17" s="32" t="s">
        <v>368</v>
      </c>
    </row>
    <row r="18" customFormat="false" ht="15" hidden="false" customHeight="false" outlineLevel="0" collapsed="false">
      <c r="A18" s="28" t="s">
        <v>369</v>
      </c>
      <c r="B18" s="28" t="s">
        <v>367</v>
      </c>
      <c r="C18" s="29" t="s">
        <v>113</v>
      </c>
      <c r="D18" s="29" t="s">
        <v>50</v>
      </c>
      <c r="E18" s="28" t="s">
        <v>109</v>
      </c>
      <c r="F18" s="28" t="s">
        <v>109</v>
      </c>
      <c r="G18" s="28" t="s">
        <v>292</v>
      </c>
      <c r="H18" s="30" t="n">
        <v>165</v>
      </c>
      <c r="I18" s="28" t="s">
        <v>368</v>
      </c>
    </row>
    <row r="19" customFormat="false" ht="15" hidden="false" customHeight="false" outlineLevel="0" collapsed="false">
      <c r="A19" s="32" t="s">
        <v>370</v>
      </c>
      <c r="B19" s="32" t="s">
        <v>371</v>
      </c>
      <c r="C19" s="8" t="s">
        <v>90</v>
      </c>
      <c r="D19" s="8" t="s">
        <v>91</v>
      </c>
      <c r="E19" s="32" t="s">
        <v>79</v>
      </c>
      <c r="F19" s="32" t="s">
        <v>61</v>
      </c>
      <c r="G19" s="32" t="s">
        <v>372</v>
      </c>
      <c r="H19" s="33" t="n">
        <v>30</v>
      </c>
      <c r="I19" s="32" t="s">
        <v>81</v>
      </c>
    </row>
    <row r="20" customFormat="false" ht="15" hidden="false" customHeight="false" outlineLevel="0" collapsed="false">
      <c r="A20" s="28" t="s">
        <v>373</v>
      </c>
      <c r="B20" s="28" t="s">
        <v>371</v>
      </c>
      <c r="C20" s="29" t="s">
        <v>90</v>
      </c>
      <c r="D20" s="29" t="s">
        <v>91</v>
      </c>
      <c r="E20" s="28" t="s">
        <v>79</v>
      </c>
      <c r="F20" s="28" t="s">
        <v>61</v>
      </c>
      <c r="G20" s="28" t="s">
        <v>374</v>
      </c>
      <c r="H20" s="30" t="n">
        <v>30</v>
      </c>
      <c r="I20" s="28" t="s">
        <v>81</v>
      </c>
    </row>
    <row r="21" customFormat="false" ht="15" hidden="false" customHeight="false" outlineLevel="0" collapsed="false">
      <c r="A21" s="32" t="s">
        <v>375</v>
      </c>
      <c r="B21" s="32" t="s">
        <v>371</v>
      </c>
      <c r="C21" s="8" t="s">
        <v>90</v>
      </c>
      <c r="D21" s="8" t="s">
        <v>91</v>
      </c>
      <c r="E21" s="32" t="s">
        <v>79</v>
      </c>
      <c r="F21" s="32" t="s">
        <v>61</v>
      </c>
      <c r="G21" s="32" t="s">
        <v>376</v>
      </c>
      <c r="H21" s="33" t="n">
        <v>30</v>
      </c>
      <c r="I21" s="32" t="s">
        <v>81</v>
      </c>
    </row>
    <row r="22" customFormat="false" ht="15" hidden="false" customHeight="false" outlineLevel="0" collapsed="false">
      <c r="A22" s="28" t="s">
        <v>377</v>
      </c>
      <c r="B22" s="28" t="s">
        <v>371</v>
      </c>
      <c r="C22" s="29" t="s">
        <v>90</v>
      </c>
      <c r="D22" s="29" t="s">
        <v>91</v>
      </c>
      <c r="E22" s="28" t="s">
        <v>79</v>
      </c>
      <c r="F22" s="28" t="s">
        <v>61</v>
      </c>
      <c r="G22" s="28" t="s">
        <v>378</v>
      </c>
      <c r="H22" s="30" t="n">
        <v>30</v>
      </c>
      <c r="I22" s="28" t="s">
        <v>81</v>
      </c>
    </row>
    <row r="23" customFormat="false" ht="15" hidden="false" customHeight="false" outlineLevel="0" collapsed="false">
      <c r="A23" s="32" t="s">
        <v>379</v>
      </c>
      <c r="B23" s="32" t="s">
        <v>289</v>
      </c>
      <c r="C23" s="8" t="s">
        <v>90</v>
      </c>
      <c r="D23" s="8" t="s">
        <v>91</v>
      </c>
      <c r="E23" s="32" t="s">
        <v>79</v>
      </c>
      <c r="F23" s="32" t="s">
        <v>61</v>
      </c>
      <c r="G23" s="32" t="s">
        <v>380</v>
      </c>
      <c r="H23" s="33" t="n">
        <v>35</v>
      </c>
      <c r="I23" s="32" t="s">
        <v>81</v>
      </c>
    </row>
    <row r="24" customFormat="false" ht="15" hidden="false" customHeight="false" outlineLevel="0" collapsed="false">
      <c r="A24" s="28" t="s">
        <v>381</v>
      </c>
      <c r="B24" s="28" t="s">
        <v>289</v>
      </c>
      <c r="C24" s="29" t="s">
        <v>90</v>
      </c>
      <c r="D24" s="29" t="s">
        <v>91</v>
      </c>
      <c r="E24" s="28" t="s">
        <v>79</v>
      </c>
      <c r="F24" s="28" t="s">
        <v>61</v>
      </c>
      <c r="G24" s="28" t="s">
        <v>382</v>
      </c>
      <c r="H24" s="30" t="n">
        <v>40</v>
      </c>
      <c r="I24" s="28" t="s">
        <v>81</v>
      </c>
    </row>
    <row r="25" customFormat="false" ht="15" hidden="false" customHeight="false" outlineLevel="0" collapsed="false">
      <c r="A25" s="32" t="s">
        <v>383</v>
      </c>
      <c r="B25" s="32" t="s">
        <v>289</v>
      </c>
      <c r="C25" s="8" t="s">
        <v>90</v>
      </c>
      <c r="D25" s="8" t="s">
        <v>91</v>
      </c>
      <c r="E25" s="32" t="s">
        <v>79</v>
      </c>
      <c r="F25" s="32" t="s">
        <v>61</v>
      </c>
      <c r="G25" s="32" t="s">
        <v>384</v>
      </c>
      <c r="H25" s="33" t="n">
        <v>40</v>
      </c>
      <c r="I25" s="32" t="s">
        <v>81</v>
      </c>
    </row>
    <row r="26" customFormat="false" ht="15" hidden="false" customHeight="false" outlineLevel="0" collapsed="false">
      <c r="A26" s="28" t="s">
        <v>385</v>
      </c>
      <c r="B26" s="28" t="s">
        <v>289</v>
      </c>
      <c r="C26" s="29" t="s">
        <v>90</v>
      </c>
      <c r="D26" s="29" t="s">
        <v>91</v>
      </c>
      <c r="E26" s="28" t="s">
        <v>79</v>
      </c>
      <c r="F26" s="28" t="s">
        <v>61</v>
      </c>
      <c r="G26" s="28" t="s">
        <v>251</v>
      </c>
      <c r="H26" s="30" t="n">
        <v>30</v>
      </c>
      <c r="I26" s="28" t="s">
        <v>81</v>
      </c>
    </row>
    <row r="27" customFormat="false" ht="15" hidden="false" customHeight="false" outlineLevel="0" collapsed="false">
      <c r="A27" s="32" t="s">
        <v>386</v>
      </c>
      <c r="B27" s="32" t="s">
        <v>289</v>
      </c>
      <c r="C27" s="8" t="s">
        <v>90</v>
      </c>
      <c r="D27" s="8" t="s">
        <v>91</v>
      </c>
      <c r="E27" s="32" t="s">
        <v>79</v>
      </c>
      <c r="F27" s="32" t="s">
        <v>61</v>
      </c>
      <c r="G27" s="32" t="s">
        <v>387</v>
      </c>
      <c r="H27" s="33" t="n">
        <v>30</v>
      </c>
      <c r="I27" s="32" t="s">
        <v>81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2026-04-18T13:07:07Z</dcterms:created>
  <dc:creator>openpyxl</dc:creator>
  <dc:description/>
  <dc:language>en-US</dc:language>
  <cp:lastModifiedBy/>
  <dcterms:modified xsi:type="dcterms:W3CDTF">2026-04-18T13:07:07Z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